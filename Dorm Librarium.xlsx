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2" sheetId="1" r:id="rId5"/>
    <sheet state="visible" name="active" sheetId="2" r:id="rId6"/>
    <sheet state="visible" name="BookTracker" sheetId="3" r:id="rId7"/>
    <sheet state="visible" name="BookDatabase" sheetId="4" r:id="rId8"/>
  </sheets>
  <definedNames/>
  <calcPr/>
</workbook>
</file>

<file path=xl/sharedStrings.xml><?xml version="1.0" encoding="utf-8"?>
<sst xmlns="http://schemas.openxmlformats.org/spreadsheetml/2006/main" count="1442" uniqueCount="663">
  <si>
    <t>ISBN</t>
  </si>
  <si>
    <t>Book Title</t>
  </si>
  <si>
    <t>Author</t>
  </si>
  <si>
    <t>Quantity</t>
  </si>
  <si>
    <t>Borrowed</t>
  </si>
  <si>
    <t>Status</t>
  </si>
  <si>
    <t>Expected Availability</t>
  </si>
  <si>
    <t>Silent Spring (Penguin Modern Classics) -- Paperback / softback</t>
  </si>
  <si>
    <t>Rachel Carson</t>
  </si>
  <si>
    <t>Astrophysics for People in a Hurry</t>
  </si>
  <si>
    <t>Neil deGrasse Tyson</t>
  </si>
  <si>
    <t>Sapiens : The Multi-million Copy Bestseller -- Paperback / softback</t>
  </si>
  <si>
    <t>Yuval Noah Harari</t>
  </si>
  <si>
    <t>Start with Why : How Great Leaders Inspire Everyone to Take Action -- Paperback / softback</t>
  </si>
  <si>
    <t>Simon Sinek</t>
  </si>
  <si>
    <t>Immortal Life of Henrietta Lacks (Picador Classic) -- Paperback / softback</t>
  </si>
  <si>
    <t>Rebecca Skloot</t>
  </si>
  <si>
    <t>Power of Now : (20th Anniversary Edition) (The Power of Now) -- Paperback / softback</t>
  </si>
  <si>
    <t>Eckhart Tolle</t>
  </si>
  <si>
    <t>Why We Sleep : The New Science of Sleep and Dreams -- Paperback / softback</t>
  </si>
  <si>
    <t>Matthew Walker</t>
  </si>
  <si>
    <t>Cosmos</t>
  </si>
  <si>
    <t>Carl Sagan</t>
  </si>
  <si>
    <t>Dune -- Paperback</t>
  </si>
  <si>
    <t>Frank Herbert</t>
  </si>
  <si>
    <t>Double Helix -- Paperback / softback</t>
  </si>
  <si>
    <t>James D. Watson</t>
  </si>
  <si>
    <t>A Brief History Of Time : From Big Bang To Black Holes</t>
  </si>
  <si>
    <t>Stephen Hawking</t>
  </si>
  <si>
    <t>Atomic Habits</t>
  </si>
  <si>
    <t>James Clear</t>
  </si>
  <si>
    <t>Brave New World</t>
  </si>
  <si>
    <t>Aldous Huxley</t>
  </si>
  <si>
    <t>Man's Search for Meaning : The classic tribute to hope from the Holocaust -- Paperback / softback</t>
  </si>
  <si>
    <t>Viktor E. Frankl</t>
  </si>
  <si>
    <t>Elegant Universe -- Paperback / softback</t>
  </si>
  <si>
    <t>Brian Greene</t>
  </si>
  <si>
    <t>Issued Date</t>
  </si>
  <si>
    <t>Emperor of All Maladies -- Paperback / softback</t>
  </si>
  <si>
    <t>Siddhartha Mukherjee</t>
  </si>
  <si>
    <t>Due Date</t>
  </si>
  <si>
    <t>Gene : An Intimate History -- Paperback / softback</t>
  </si>
  <si>
    <t>Returned Date</t>
  </si>
  <si>
    <t>Big Little Lies</t>
  </si>
  <si>
    <t>Liane Moriarty</t>
  </si>
  <si>
    <t>Overdue</t>
  </si>
  <si>
    <t>Genome : The Autobiography of a Species in 23 Chapters -- Paperback / softback</t>
  </si>
  <si>
    <t>Matt Ridley</t>
  </si>
  <si>
    <t>The Demon-Haunted World</t>
  </si>
  <si>
    <t>Autobiography of a Yogi</t>
  </si>
  <si>
    <t>Paramahansa Yogananda</t>
  </si>
  <si>
    <t>A Thousand Splendid Suns</t>
  </si>
  <si>
    <t>Khaled Hosseini</t>
  </si>
  <si>
    <t>Alexander Hamilton -- Paperback / softback</t>
  </si>
  <si>
    <t>Ron Chernow</t>
  </si>
  <si>
    <t>Life Of Pi</t>
  </si>
  <si>
    <t>Yann Martel</t>
  </si>
  <si>
    <t>Sixth Extinction : An Unnatural History -- Paperback</t>
  </si>
  <si>
    <t>Elizabeth Kolbert</t>
  </si>
  <si>
    <t>A Tale of Two Cities</t>
  </si>
  <si>
    <t>Charles Dickens</t>
  </si>
  <si>
    <t>Becoming : The No. 1 International Bestseller -- Paperback / softback</t>
  </si>
  <si>
    <t>Michelle Obama</t>
  </si>
  <si>
    <t>Crime and Punishment</t>
  </si>
  <si>
    <t>Fyodor Dostoevsky</t>
  </si>
  <si>
    <t>Leaders Eat Last</t>
  </si>
  <si>
    <t>Meditations</t>
  </si>
  <si>
    <t>Marcus Aurelius</t>
  </si>
  <si>
    <t>Radical Candor : Fully Revised and Updated Edition: How to Get What You Want by Saying What You M -- Paperback / softback</t>
  </si>
  <si>
    <t>Kim Scott</t>
  </si>
  <si>
    <t>Seven Brief Lessons on Physics -- Paperback / softback (English Language Edition)</t>
  </si>
  <si>
    <t>Carlo Rovelli</t>
  </si>
  <si>
    <t>Shoe Dog : A Memoir by the Creator of Nike -- Paperback / softback</t>
  </si>
  <si>
    <t>Phil Knight</t>
  </si>
  <si>
    <t>Snow Crash -- Paperback / softback</t>
  </si>
  <si>
    <t>Neal Stephenson</t>
  </si>
  <si>
    <t>7 Habits of Highly Effective People: Revised and Updated : 30th Anniversary Edition -- Paperback / softback</t>
  </si>
  <si>
    <t>Stephen R. Covey</t>
  </si>
  <si>
    <t>Alchemist -- Paperback / softback (English Language Edition)</t>
  </si>
  <si>
    <t>Paulo Coelho</t>
  </si>
  <si>
    <t>The Art of War</t>
  </si>
  <si>
    <t>Sun Tzu</t>
  </si>
  <si>
    <t>The Book Thief</t>
  </si>
  <si>
    <t>Markus Zusak</t>
  </si>
  <si>
    <t>Diary of a Young Girl -- Paperback / softback (English Language Edition)</t>
  </si>
  <si>
    <t>Anne Frank</t>
  </si>
  <si>
    <t>The Pelican Brief</t>
  </si>
  <si>
    <t>John Grisham</t>
  </si>
  <si>
    <t>Returned On Time</t>
  </si>
  <si>
    <t>Thinking, Fast and Slow -- Paperback / softback</t>
  </si>
  <si>
    <t>Daniel Kahneman</t>
  </si>
  <si>
    <t>When Breath Becomes Air : The ultimate moving life-and-death story -- Paperback / softback</t>
  </si>
  <si>
    <t>Paul Kalanithi</t>
  </si>
  <si>
    <t>Deep Work</t>
  </si>
  <si>
    <t>Cal Newport</t>
  </si>
  <si>
    <t>Gone Girl</t>
  </si>
  <si>
    <t>Gillian Flynn</t>
  </si>
  <si>
    <t>Timestamp</t>
  </si>
  <si>
    <t>Neuromancer : The Best of the Sf Masterworks (S.F. Masterworks) -- Paperback / softback</t>
  </si>
  <si>
    <t>William Gibson</t>
  </si>
  <si>
    <t>Steve Jobs : The Exclusive Biography -- Paperback / softback</t>
  </si>
  <si>
    <t>Walter Isaacson</t>
  </si>
  <si>
    <t>Girl with the Dragon Tattoo : The genre-defining thriller that introduced the world to Lisbeth Salander (Millennium) -- Paperback / softback</t>
  </si>
  <si>
    <t>Stieg Larsson</t>
  </si>
  <si>
    <t>Silent Patient -- Paperback / softback</t>
  </si>
  <si>
    <t>Alex Michaelides</t>
  </si>
  <si>
    <t>You Are a Badass : How to Stop Doubting Your Greatness and Start Living an Awesome Life -- Paperback / softback</t>
  </si>
  <si>
    <t>Jen Sincero</t>
  </si>
  <si>
    <t>And Then There Were None</t>
  </si>
  <si>
    <t>Agatha Christie</t>
  </si>
  <si>
    <t>Before I Go to Sleep -- Paperback / softback</t>
  </si>
  <si>
    <t>S.J. Watson</t>
  </si>
  <si>
    <t>Educated</t>
  </si>
  <si>
    <t>Tara Westover</t>
  </si>
  <si>
    <t>Fahrenheit 451 -- Paperback / softback</t>
  </si>
  <si>
    <t>Ray Bradbury</t>
  </si>
  <si>
    <t>Good to Great -- Hardback</t>
  </si>
  <si>
    <t>Jim Collins</t>
  </si>
  <si>
    <t>Grit : Why passion and resilience are the secrets to success -- Paperback / softback</t>
  </si>
  <si>
    <t>Angela Duckworth</t>
  </si>
  <si>
    <t xml:space="preserve">Borrower Name
</t>
  </si>
  <si>
    <t>Hyperion (S.F. Masterworks) -- Paperback / softback</t>
  </si>
  <si>
    <t>Dan Simmons</t>
  </si>
  <si>
    <t>Jane Eyre</t>
  </si>
  <si>
    <t>Charlotte Brontë</t>
  </si>
  <si>
    <t>Long Walk to Freedom : 'essential reading' Barack Obama -- Paperback / softback</t>
  </si>
  <si>
    <t>Nelson Mandela</t>
  </si>
  <si>
    <t>Open : An Autobiography -- Paperback / softback</t>
  </si>
  <si>
    <t>Andre Agassi</t>
  </si>
  <si>
    <t>Pride and Prejudice</t>
  </si>
  <si>
    <t>Jane Austen</t>
  </si>
  <si>
    <t>Da Vinci Code : (Robert Langdon Book 2) (Robert Langdon) -- Paperback / softback</t>
  </si>
  <si>
    <t>Dan Brown</t>
  </si>
  <si>
    <t>Firm -- Paperback / softback</t>
  </si>
  <si>
    <t>The Happiness Project</t>
  </si>
  <si>
    <t>Gretchen Rubin</t>
  </si>
  <si>
    <t>Entry No.</t>
  </si>
  <si>
    <t>Kite Runner -- Paperback / softback</t>
  </si>
  <si>
    <t>Processed and Borrowed</t>
  </si>
  <si>
    <t>Seat of the Soul : An Inspiring Vision of Humanity's Spiritual Destiny (Rider Classics) -- Paperback / softback</t>
  </si>
  <si>
    <t>Gary Zukav</t>
  </si>
  <si>
    <t>The Subtle Art of Not Giving a Fuck</t>
  </si>
  <si>
    <t>Mark Manson</t>
  </si>
  <si>
    <t>Ikigai : The Japanese secret to a long and happy life -- Hardback</t>
  </si>
  <si>
    <t>Héctor García</t>
  </si>
  <si>
    <t>The Lean Startup : How Today's Entrepreneurs Use Continuous Innovation to Create Radically Successful Businesses</t>
  </si>
  <si>
    <t>Eric Ries</t>
  </si>
  <si>
    <t>Flow : The Psychology of Optimal Experience</t>
  </si>
  <si>
    <t>Mihaly Csikszentmihalyi</t>
  </si>
  <si>
    <t>Road (Picador Collection) -- Paperback / softback</t>
  </si>
  <si>
    <t>Cormac McCarthy</t>
  </si>
  <si>
    <t xml:space="preserve">Lokesh </t>
  </si>
  <si>
    <t>On the Origin of Species : The Science Classic (Capstone Classics)</t>
  </si>
  <si>
    <t>Charles Darwin</t>
  </si>
  <si>
    <t>Being and Nothingness : An Essay in Phenomenological Ontology</t>
  </si>
  <si>
    <t>Jean-Paul Sartre</t>
  </si>
  <si>
    <t>My Life in France</t>
  </si>
  <si>
    <t xml:space="preserve">24A1EENB0062 </t>
  </si>
  <si>
    <t>Julia Child</t>
  </si>
  <si>
    <t>Thinking in Systems</t>
  </si>
  <si>
    <t>Donella Meadows</t>
  </si>
  <si>
    <t>Emotional Agility : Get Unstuck, Embrace Change and Thrive in Work and Life</t>
  </si>
  <si>
    <t>Susan David</t>
  </si>
  <si>
    <t>The Consolation of Philosophy</t>
  </si>
  <si>
    <t>Boethius</t>
  </si>
  <si>
    <t>Film Book : A Complete Guide to the World of Cinema -- Hardback</t>
  </si>
  <si>
    <t>Kenneth MacMahon</t>
  </si>
  <si>
    <t>The Mind's Eye</t>
  </si>
  <si>
    <t>Oliver Sacks</t>
  </si>
  <si>
    <t>Prince -- Paperback / softback (English Language Edition)</t>
  </si>
  <si>
    <t>Niccolò Machiavelli</t>
  </si>
  <si>
    <t>Luv</t>
  </si>
  <si>
    <t>The Road Less Traveled</t>
  </si>
  <si>
    <t>M. Scott Peck</t>
  </si>
  <si>
    <t>Prodigal Daughter (Kane and Abel series) -- Paperback / softback</t>
  </si>
  <si>
    <t>Jeffrey Archer</t>
  </si>
  <si>
    <t>Not a Penny More, Not a Penny Less -- Paperback / softback</t>
  </si>
  <si>
    <t>Heads You Win -- Paperback / softback</t>
  </si>
  <si>
    <t>Midnight in the Garden of Good and Evil -- Paperback</t>
  </si>
  <si>
    <t>John Berendt</t>
  </si>
  <si>
    <t>Master : The Brilliant Career of Roger Federer -- Paperback / softback</t>
  </si>
  <si>
    <t>Christopher Clarey</t>
  </si>
  <si>
    <t>A Walk In The Woods</t>
  </si>
  <si>
    <t>Bill Bryson</t>
  </si>
  <si>
    <t>Body : A Guide for Occupants - the Sunday Times No.1 Bestseller -- Paperback (English Language Edition)</t>
  </si>
  <si>
    <t>The Story of Film</t>
  </si>
  <si>
    <t>Mark Cousins</t>
  </si>
  <si>
    <t>The War of the Worlds</t>
  </si>
  <si>
    <t>H.G. Wells</t>
  </si>
  <si>
    <t>When Things Fall Apart : Heart Advice for Difficult Times -- Paperback / softback</t>
  </si>
  <si>
    <t>Pema Chödrön</t>
  </si>
  <si>
    <t>The Hidden Life of Trees : A Graphic Adaptation</t>
  </si>
  <si>
    <t>Peter Wohlleben</t>
  </si>
  <si>
    <t>Beyond Freedom &amp; Dignity</t>
  </si>
  <si>
    <t>B.F. Skinner</t>
  </si>
  <si>
    <t>Can't Hurt Me: Master Your Mind and Defy the Odds</t>
  </si>
  <si>
    <t>David Goggins</t>
  </si>
  <si>
    <t>Capital in the Twenty-first Century</t>
  </si>
  <si>
    <t>Thomas Piketty</t>
  </si>
  <si>
    <t>The Structure of Scientific Revolutions : 50th Anniversary Edition</t>
  </si>
  <si>
    <t>Thomas S. Kuhn</t>
  </si>
  <si>
    <t>Midnight Library -- Paperback / softback</t>
  </si>
  <si>
    <t>Matt Haig</t>
  </si>
  <si>
    <t>Emotional Intelligence 2.0</t>
  </si>
  <si>
    <t>Travis Bradberry &amp; Jean Greaves</t>
  </si>
  <si>
    <t>The Biology of Belief</t>
  </si>
  <si>
    <t>Bruce H. Lipton</t>
  </si>
  <si>
    <t>Blue Ocean Strategy</t>
  </si>
  <si>
    <t>W. Chan Kim &amp; Renée Mauborgne</t>
  </si>
  <si>
    <t>Crucial Conversations</t>
  </si>
  <si>
    <t>Al Switzler, Joseph Grenny, and Ron McMillan</t>
  </si>
  <si>
    <t>Eat, Pray, Love : One Woman's Search for Everything</t>
  </si>
  <si>
    <t>Elizabeth Gilbert</t>
  </si>
  <si>
    <t>Incognito : The Secret Lives of the Brain (Canons) -- Paperback / softback</t>
  </si>
  <si>
    <t>David Eagleman</t>
  </si>
  <si>
    <t>Little Women</t>
  </si>
  <si>
    <t>Louisa May Alcott</t>
  </si>
  <si>
    <t>Sense &amp; Sensibility</t>
  </si>
  <si>
    <t>The Four Agreements : A Practical Guide to Personal Freedom</t>
  </si>
  <si>
    <t>Don Miguel Ruiz</t>
  </si>
  <si>
    <t>Wild : A Journey from Lost to Found -- Paperback / softback</t>
  </si>
  <si>
    <t>Cheryl Strayed</t>
  </si>
  <si>
    <t>Wuthering Heights</t>
  </si>
  <si>
    <t>Emily Brontë</t>
  </si>
  <si>
    <t>Man Who Knew : The Life &amp; Times of Alan Greenspan -- Paperback / softback</t>
  </si>
  <si>
    <t>Sebastian Mallaby</t>
  </si>
  <si>
    <t>The Tale of Genji</t>
  </si>
  <si>
    <t>Murasaki Shikibu</t>
  </si>
  <si>
    <t>In the Miso Soup -- Paperback / softback</t>
  </si>
  <si>
    <t>Ryu Murakami</t>
  </si>
  <si>
    <t>All Quiet on the Western Front</t>
  </si>
  <si>
    <t>Erich Maria Remarque</t>
  </si>
  <si>
    <t>Before She Knew Him -- Paperback / softback</t>
  </si>
  <si>
    <t>Peter Swanson</t>
  </si>
  <si>
    <t>The Epigenetics Revolution</t>
  </si>
  <si>
    <t>Nessa Carey</t>
  </si>
  <si>
    <t>Waiting for Godot : A Tragicomedy in Two Acts -- Paperback / softback</t>
  </si>
  <si>
    <t>Samuel Beckett</t>
  </si>
  <si>
    <t>1984 : The dystopian classic reimagined with cover art by Shepard Fairey (Penguin Essentials) -- Paperback / softback</t>
  </si>
  <si>
    <t>George Orwell</t>
  </si>
  <si>
    <t>A Streetcar Named Desire</t>
  </si>
  <si>
    <t>Tennessee Williams</t>
  </si>
  <si>
    <t>Bad Blood</t>
  </si>
  <si>
    <t>John Carreyrou</t>
  </si>
  <si>
    <t>Benjamin Franklin</t>
  </si>
  <si>
    <t>Beyond Good and Evil</t>
  </si>
  <si>
    <t>Friedrich Nietzsche</t>
  </si>
  <si>
    <t>Churchill : Walking with Destiny -- Paperback / softback</t>
  </si>
  <si>
    <t>Andrew Roberts</t>
  </si>
  <si>
    <t>Competitive Advantage : Creating and Sustaining Superior Performance -- Paperback / softback</t>
  </si>
  <si>
    <t>Michael E. Porter</t>
  </si>
  <si>
    <t>Count Zero</t>
  </si>
  <si>
    <t>Einstein : His Life and Universe -- Paperback / softback</t>
  </si>
  <si>
    <t>Extreme Ownership</t>
  </si>
  <si>
    <t>Jocko Willink, Leif Babin</t>
  </si>
  <si>
    <t>Freakonomics</t>
  </si>
  <si>
    <t>Steven D. Levitt, Stephen J. Dubner</t>
  </si>
  <si>
    <t>How the Mind Works -- Paperback / softback</t>
  </si>
  <si>
    <t>Steven Pinker</t>
  </si>
  <si>
    <t>In Cold Blood : A True Account of a Multiple Murder and its Consequences (Penguin Modern Classics) -- Paperback</t>
  </si>
  <si>
    <t>Truman Capote</t>
  </si>
  <si>
    <t>Leadership in Turbulent Times : Lessons from the Presidents -- Paperback / softback</t>
  </si>
  <si>
    <t>Doris Kearns Goodwin</t>
  </si>
  <si>
    <t>Leonardo Da Vinci -- Paperback / softback</t>
  </si>
  <si>
    <t>Les Misrables</t>
  </si>
  <si>
    <t>Victor Hugo</t>
  </si>
  <si>
    <t>Macbeth -- Paperback / softback</t>
  </si>
  <si>
    <t>William Shakespeare</t>
  </si>
  <si>
    <t>Make Your Bed : Feel grounded and think positive in 10 simple steps -- Hardback</t>
  </si>
  <si>
    <t>Admiral William H. McRaven</t>
  </si>
  <si>
    <t>Misbehaving : The Making of Behavioural Economics -- Paperback / softback</t>
  </si>
  <si>
    <t>Richard H. Thaler</t>
  </si>
  <si>
    <t>Of Mice and Men</t>
  </si>
  <si>
    <t>John Steinbeck</t>
  </si>
  <si>
    <t>Othello -- Paperback / softback</t>
  </si>
  <si>
    <t>Outliers : The Story of Success -- Paperback</t>
  </si>
  <si>
    <t>Malcolm Gladwell</t>
  </si>
  <si>
    <t>Playing to Win</t>
  </si>
  <si>
    <t>A.G. Lafley, Roger L. Martin</t>
  </si>
  <si>
    <t>Quiet : The Power of Introverts in a World That Can't Stop Talking -- Paperback / softback</t>
  </si>
  <si>
    <t>Susan Cain</t>
  </si>
  <si>
    <t>Reality Is Not What It Seems : The Journey to Quantum Gravity -- Paperback / softback (English Language Edition)</t>
  </si>
  <si>
    <t>Red Rising : Celebrating its 10th anniversary, an explosive dystopian sci-fi novel (#1 New Yo (Red Rising Series))</t>
  </si>
  <si>
    <t>Pierce Brown</t>
  </si>
  <si>
    <t>Station Eleven -- Paperback / softback</t>
  </si>
  <si>
    <t>Emily St. John Mandel</t>
  </si>
  <si>
    <t>The Analects</t>
  </si>
  <si>
    <t>Confucius</t>
  </si>
  <si>
    <t>The Art of Strategy</t>
  </si>
  <si>
    <t>Avinash K. Dixit, Barry J. Nalebuff</t>
  </si>
  <si>
    <t>Ascent of Money : A Financial History of the World -- Paperback / softback</t>
  </si>
  <si>
    <t>Niall Ferguson</t>
  </si>
  <si>
    <t>Big Sleep (Phillip Marlowe) -- Paperback / softback</t>
  </si>
  <si>
    <t>Raymond Chandler</t>
  </si>
  <si>
    <t>Black Dahlia : The first book in the classic L.A. Quartet crime series (L.A. Quartet) -- Paperback / softback</t>
  </si>
  <si>
    <t>James Ellroy</t>
  </si>
  <si>
    <t>Brain That Changes Itself : Stories of Personal Triumph from the Frontiers of Brain Science -- Paperback / softback</t>
  </si>
  <si>
    <t>Norman Doidge</t>
  </si>
  <si>
    <t>The Catcher in the Rye</t>
  </si>
  <si>
    <t>J.D. Salinger</t>
  </si>
  <si>
    <t>The Code Breaker</t>
  </si>
  <si>
    <t>Crucible : A Play in Four Acts (Penguin Modern Classics) -- Paperback / softback</t>
  </si>
  <si>
    <t>Arthur Miller</t>
  </si>
  <si>
    <t>Future We Choose : 'everyone should read this book' Matt Haig -- Paperback / softback</t>
  </si>
  <si>
    <t>Christiana Figueres, Tom Rivett-Carnac</t>
  </si>
  <si>
    <t>The Great Gatsby</t>
  </si>
  <si>
    <t>F. Scott Fitzgerald</t>
  </si>
  <si>
    <t>Handmaid's Tale -- Paperback / softback</t>
  </si>
  <si>
    <t>Margaret Atwood</t>
  </si>
  <si>
    <t>Hunger Games (The Hunger Games) -- Paperback / softback</t>
  </si>
  <si>
    <t>Suzanne Collins</t>
  </si>
  <si>
    <t>The Innovator's Dilemma : When New Technologies Cause Great Firms to Fail</t>
  </si>
  <si>
    <t>Clayton M. Christensen</t>
  </si>
  <si>
    <t>Last Mile (Amos Decker series) -- Paperback / softback</t>
  </si>
  <si>
    <t>David Baldacci</t>
  </si>
  <si>
    <t>Man Who Mistook His Wife for a Hat (Picador Collection) -- Paperback / softback</t>
  </si>
  <si>
    <t>Maze Runner (Maze Runner Series) -- Paperback / softback</t>
  </si>
  <si>
    <t>James Dashner</t>
  </si>
  <si>
    <t>The Meaning of Everything : The Story of the Oxford English Dictionary</t>
  </si>
  <si>
    <t>Simon Winchester</t>
  </si>
  <si>
    <t>The Nature Fix</t>
  </si>
  <si>
    <t>Florence Williams</t>
  </si>
  <si>
    <t>Nightingale : The Multi-million Copy Bestseller from the author of the Women -- Paperback / softback</t>
  </si>
  <si>
    <t>Kristin Hannah</t>
  </si>
  <si>
    <t>No. 1 Ladies' Detective Agency : The multi-million copy bestselling series (No. 1 Ladies' Detective Agency) -- Paperback / softback</t>
  </si>
  <si>
    <t>Alexander McCall Smith</t>
  </si>
  <si>
    <t>Paris Library : the bestselling novel of courage and betrayal in Occupied Paris -- Paperback / softback</t>
  </si>
  <si>
    <t>Janet Skeslien Charles</t>
  </si>
  <si>
    <t>Peripheral -- Paperback</t>
  </si>
  <si>
    <t>Politics Book : Big Ideas Simply Explained (Dk Big Ideas) -- Hardback</t>
  </si>
  <si>
    <t>DK</t>
  </si>
  <si>
    <t>Postman Always Rings Twice : The classic crime novel and major movie -- Paperback / softback</t>
  </si>
  <si>
    <t>James M. Cain</t>
  </si>
  <si>
    <t>Power of Habit : Why We Do What We Do, and How to Change -- Paperback / softback</t>
  </si>
  <si>
    <t>Charles Duhigg</t>
  </si>
  <si>
    <t>The Problems of Philosophy</t>
  </si>
  <si>
    <t>Bertrand Russell</t>
  </si>
  <si>
    <t>Republic</t>
  </si>
  <si>
    <t>Plato</t>
  </si>
  <si>
    <t>The Social Contract</t>
  </si>
  <si>
    <t>Jean-Jacques Rousseau</t>
  </si>
  <si>
    <t>Tattooist of Auschwitz : the heart-breaking and unforgettable international bestseller -- Paperback / softback</t>
  </si>
  <si>
    <t>Heather Morris</t>
  </si>
  <si>
    <t>Uninhabitable Earth : A Story of the Future -- Paperback / softback</t>
  </si>
  <si>
    <t>David Wallace-Wells</t>
  </si>
  <si>
    <t>Upside of Irrationality : The Unexpected Benefits of Defying Logic at Work and at Home -- Paperback / softback</t>
  </si>
  <si>
    <t>Dan Ariely</t>
  </si>
  <si>
    <t>Wealth of Nations</t>
  </si>
  <si>
    <t>Adam Smith</t>
  </si>
  <si>
    <t>Woman in the Window</t>
  </si>
  <si>
    <t>A. J. Finn</t>
  </si>
  <si>
    <t>Wright Brothers: The Dramatic Story Behind the Legend</t>
  </si>
  <si>
    <t>David McCullough</t>
  </si>
  <si>
    <t>Zoologist's Guide to the Galaxy: What Animals on Earth Reveal about Aliens</t>
  </si>
  <si>
    <t>Arik Kershenbaum</t>
  </si>
  <si>
    <t>This Changes Everything: Capitalism vs. the Climate</t>
  </si>
  <si>
    <t>Naomi Klein</t>
  </si>
  <si>
    <t>Your Inner Fish: The Amazing Discovery of Our 375-Million-Year-Old Ancestor</t>
  </si>
  <si>
    <t>Neil Shubin</t>
  </si>
  <si>
    <t>Shutter Island</t>
  </si>
  <si>
    <t>Dennis Lehane</t>
  </si>
  <si>
    <t>Surely You're Joking, Mr. Feynman!</t>
  </si>
  <si>
    <t>Richard P. Feynman</t>
  </si>
  <si>
    <t>Team of Rivals</t>
  </si>
  <si>
    <t>What Happened</t>
  </si>
  <si>
    <t>Hillary Clinton</t>
  </si>
  <si>
    <t>Kane and Abel (Kane and Abel series)</t>
  </si>
  <si>
    <t>Guardians: The Sunday Times Bestseller</t>
  </si>
  <si>
    <t>Coma</t>
  </si>
  <si>
    <t>Robin Cook</t>
  </si>
  <si>
    <t>Outbreak</t>
  </si>
  <si>
    <t>Rafa: My Story</t>
  </si>
  <si>
    <t>Rafael Nadal</t>
  </si>
  <si>
    <t>Great Expectations</t>
  </si>
  <si>
    <t>Moby-Dick</t>
  </si>
  <si>
    <t>Herman Melville</t>
  </si>
  <si>
    <t>War and Peace</t>
  </si>
  <si>
    <t>Leo Tolstoy</t>
  </si>
  <si>
    <t>Snow Country (Little Clothbound Classics)</t>
  </si>
  <si>
    <t>Yasunari Kawabata</t>
  </si>
  <si>
    <t>My Name Is Red</t>
  </si>
  <si>
    <t>Orhan Pamuk</t>
  </si>
  <si>
    <t>Snow</t>
  </si>
  <si>
    <t>Museum of Innocence</t>
  </si>
  <si>
    <t>Bastard of Istanbul</t>
  </si>
  <si>
    <t>Elif Shafak</t>
  </si>
  <si>
    <t>10 Minutes 38 Seconds in this Strange World</t>
  </si>
  <si>
    <t>Forty Rules of Love</t>
  </si>
  <si>
    <t>Drive: The Surprising Truth about What Motivates Us</t>
  </si>
  <si>
    <t>Daniel H. Pink</t>
  </si>
  <si>
    <t>Daring Greatly: How the Courage to Be Vulnerable Transforms the Way We Live, Love, Parent, and Lead</t>
  </si>
  <si>
    <t>Brené Brown</t>
  </si>
  <si>
    <t>Mindset - Updated Edition: Changing the Way You Think to Fulfil Your Potential</t>
  </si>
  <si>
    <t>Carol S. Dweck</t>
  </si>
  <si>
    <t>The Man Who Knew Infinity</t>
  </si>
  <si>
    <t>Robert Kanigel</t>
  </si>
  <si>
    <t>Gödel, Escher, Bach</t>
  </si>
  <si>
    <t>Douglas Hofstadter</t>
  </si>
  <si>
    <t>Big Picture: On the Origins of Life, Meaning, and the Universe Itself</t>
  </si>
  <si>
    <t>Sean Carroll</t>
  </si>
  <si>
    <t>Physics of the Future: The Inventions That Will Transform Our Lives</t>
  </si>
  <si>
    <t>Michio Kaku</t>
  </si>
  <si>
    <t>Inferior: The True Power of Women and the Science That Shows it</t>
  </si>
  <si>
    <t>Angela Saini</t>
  </si>
  <si>
    <t>Holographic Universe</t>
  </si>
  <si>
    <t>Michael Talbot</t>
  </si>
  <si>
    <t>Consciousness Explained</t>
  </si>
  <si>
    <t>Daniel C. Dennett</t>
  </si>
  <si>
    <t>Braiding Sweetgrass: Indigenous Wisdom, Scientific Knowledge, and the Teachings of Plants</t>
  </si>
  <si>
    <t>Robin Wall Kimmerer</t>
  </si>
  <si>
    <t>Gaia</t>
  </si>
  <si>
    <t>James Lovelock</t>
  </si>
  <si>
    <t>Black Holes and Time Warps</t>
  </si>
  <si>
    <t>Kip S. Thorne</t>
  </si>
  <si>
    <t>Starry Messenger: Cosmic Perspectives on Civilisation</t>
  </si>
  <si>
    <t>Becoming Supernatural: How Common People Are Doing the Uncommon</t>
  </si>
  <si>
    <t>Joe Dispenza</t>
  </si>
  <si>
    <t>Science and the Akashic Field</t>
  </si>
  <si>
    <t>Ervin Laszlo</t>
  </si>
  <si>
    <t>Breaking the Habit of Being Yourself: How to Lose Your Mind and Create a New One</t>
  </si>
  <si>
    <t>Hobbit</t>
  </si>
  <si>
    <t>J.R.R. Tolkien</t>
  </si>
  <si>
    <t>Secret Life of Bees: The Stunning Multi-Million Bestselling Novel About a Young Girl's Journey</t>
  </si>
  <si>
    <t>Sue Monk Kidd</t>
  </si>
  <si>
    <t>Tao of Physics</t>
  </si>
  <si>
    <t>Fritjof Capra</t>
  </si>
  <si>
    <t>Tuesdays with Morrie: An Old Man, a Young Man, and Life's Greatest Lesson</t>
  </si>
  <si>
    <t>Mitch Albom</t>
  </si>
  <si>
    <t>Rich Dad's Before You Quit Your Job: 10 Real-Life Lessons Every Entrepreneur Should Know About Building a Million-Dollar Business</t>
  </si>
  <si>
    <t>Robert T. Kiyosaki</t>
  </si>
  <si>
    <t>You Can Heal Your Life</t>
  </si>
  <si>
    <t>Louise L. Hay</t>
  </si>
  <si>
    <t>Prize: The Epic Quest for Oil, Money &amp; Power</t>
  </si>
  <si>
    <t>Daniel Yergin</t>
  </si>
  <si>
    <t>A Man Called Ove</t>
  </si>
  <si>
    <t>Fredrik Backman</t>
  </si>
  <si>
    <t>Altered Carbon: Netflix Altered Carbon Book 1 (Takeshi Kovacs)</t>
  </si>
  <si>
    <t>Richard K. Morgan</t>
  </si>
  <si>
    <t>Born A Crime: Stories from a South African Childhood</t>
  </si>
  <si>
    <t>Trevor Noah</t>
  </si>
  <si>
    <t>Brief Answers to the Big Questions</t>
  </si>
  <si>
    <t>Do Androids Dream of Electric Sheep?</t>
  </si>
  <si>
    <t>Philip K. Dick</t>
  </si>
  <si>
    <t>I Am Malala: The Girl Who Stood Up for Education and Was Shot by the Taliban</t>
  </si>
  <si>
    <t>Malala Yousafzai</t>
  </si>
  <si>
    <t>Inferno: (Robert Langdon Book 4) (Robert Langdon)</t>
  </si>
  <si>
    <t>Still Life: Thrilling and Page-Turning Crime Fiction from the Author of the Bestselling Inspector Gamache Series</t>
  </si>
  <si>
    <t>Louise Penny</t>
  </si>
  <si>
    <t>The 5th Horseman</t>
  </si>
  <si>
    <t>James Patterson</t>
  </si>
  <si>
    <t>Art of Thinking Clearly: The Secrets of Perfect Decision-Making</t>
  </si>
  <si>
    <t>Rolf Dobelli</t>
  </si>
  <si>
    <t>Bourne Identity: The First Jason Bourne Thriller (Jason Bourne)</t>
  </si>
  <si>
    <t>Robert Ludlum</t>
  </si>
  <si>
    <t>The Chain: The Award-Winning Suspense Thriller of the Year</t>
  </si>
  <si>
    <t>Adrian McKinty</t>
  </si>
  <si>
    <t>Dispossessed (S.F. Masterworks)</t>
  </si>
  <si>
    <t>Ursula K. Le Guin</t>
  </si>
  <si>
    <t>Girl on the Train: The Multi-Million-Copy Global Phenomenon</t>
  </si>
  <si>
    <t>Paula Hawkins</t>
  </si>
  <si>
    <t>Girl Who Played with Fire: A Dragon Tattoo Story (Millennium Series)</t>
  </si>
  <si>
    <t>Glass Castle: The New York Times Bestseller - Two Million Copies Sold</t>
  </si>
  <si>
    <t>Jeannette Walls</t>
  </si>
  <si>
    <t>Long Walk: The True Story of a Trek to Freedom</t>
  </si>
  <si>
    <t>Slavomir Rawicz</t>
  </si>
  <si>
    <t>Night Watchman: Winner of the Pulitzer Prize in Fiction 2021</t>
  </si>
  <si>
    <t>Louise Erdrich</t>
  </si>
  <si>
    <t>Reversal (Mickey Haller Series)</t>
  </si>
  <si>
    <t>Michael Connelly</t>
  </si>
  <si>
    <t>Shadow of the Wind: The Cemetery of Forgotten Books 1</t>
  </si>
  <si>
    <t>Carlos Ruiz Zafón</t>
  </si>
  <si>
    <t>Social Animal: A Story of How Success Happens</t>
  </si>
  <si>
    <t>David Brooks</t>
  </si>
  <si>
    <t>Stars My Destination (S.F. Masterworks)</t>
  </si>
  <si>
    <t>Alfred Bester</t>
  </si>
  <si>
    <t>Tipping Point: How Little Things Can Make a Big Difference</t>
  </si>
  <si>
    <t>Undercover Economist</t>
  </si>
  <si>
    <t>Tim Harford</t>
  </si>
  <si>
    <t>The Untethered Soul</t>
  </si>
  <si>
    <t>Michael A. Singer</t>
  </si>
  <si>
    <t>Water Knife</t>
  </si>
  <si>
    <t>Paolo Bacigalupi</t>
  </si>
  <si>
    <t>Windup Girl: Winner of Five Major SF Awards</t>
  </si>
  <si>
    <t>Where the Crawdads Sing</t>
  </si>
  <si>
    <t>Delia Owens</t>
  </si>
  <si>
    <t>Kindred: The Ground-Breaking Masterpiece</t>
  </si>
  <si>
    <t>Octavia Butler</t>
  </si>
  <si>
    <t>Ender's Game: Book 1 of the Ender Saga (Ender Saga)</t>
  </si>
  <si>
    <t>Orson Scott Card</t>
  </si>
  <si>
    <t>Martian: The International Bestseller Behind the Oscar-Winning Blockbuster Film</t>
  </si>
  <si>
    <t>Andy Weir</t>
  </si>
  <si>
    <t>Sharp Objects: A Major HBO &amp; Sky Atlantic Limited Series Starring Amy Adams</t>
  </si>
  <si>
    <t>Audacity of Hope: Thoughts on Reclaiming the American Dream</t>
  </si>
  <si>
    <t>Barack Obama</t>
  </si>
  <si>
    <t>Time to Kill</t>
  </si>
  <si>
    <t>What If?: Serious Scientific Answers to Absurd Hypothetical Questions</t>
  </si>
  <si>
    <t>Randall Munroe</t>
  </si>
  <si>
    <t>The Name of the Wind: The Kingkiller Chronicle: Book 1</t>
  </si>
  <si>
    <t>Patrick Rothfuss</t>
  </si>
  <si>
    <t>Crack in Creation: The New Power to Control Evolution</t>
  </si>
  <si>
    <t>Jennifer Doudna</t>
  </si>
  <si>
    <t>All the Light We Cannot See</t>
  </si>
  <si>
    <t>Anthony Doerr</t>
  </si>
  <si>
    <t>Black Hole Blues and Other Songs from Outer Space</t>
  </si>
  <si>
    <t>Janna Levin</t>
  </si>
  <si>
    <t>Black Holes and Baby Universes and Other Essays</t>
  </si>
  <si>
    <t>Black Holes: The Key to Understanding the Universe</t>
  </si>
  <si>
    <t>Built to Last: Successful Habits of Visionary Companies</t>
  </si>
  <si>
    <t>Jim Collins, Jerry I. Porras</t>
  </si>
  <si>
    <t>Dare to Lead: Brave Work. Tough Conversations. Whole Hearts.</t>
  </si>
  <si>
    <t>Essentialism: The Disciplined Pursuit of Less</t>
  </si>
  <si>
    <t>Greg McKeown</t>
  </si>
  <si>
    <t>Foundation (The Foundation Trilogy)</t>
  </si>
  <si>
    <t>Isaac Asimov</t>
  </si>
  <si>
    <t>Frankenstein</t>
  </si>
  <si>
    <t>Mary Shelley</t>
  </si>
  <si>
    <t>Good Strategy/Bad Strategy: The Difference and Why It Matters</t>
  </si>
  <si>
    <t>Richard Rumelt</t>
  </si>
  <si>
    <t>Guns, Germs and Steel: The Million-Copy Bestselling History of Everybody (20th Anniversary Edition)</t>
  </si>
  <si>
    <t>Jared Diamond</t>
  </si>
  <si>
    <t>How to Win Friends and Influence People</t>
  </si>
  <si>
    <t>Dale Carnegie</t>
  </si>
  <si>
    <t>Influence, New and Expanded: The Psychology of Persuasion</t>
  </si>
  <si>
    <t>Robert B. Cialdini</t>
  </si>
  <si>
    <t>Into the Water: The Sunday Times Bestseller</t>
  </si>
  <si>
    <t>Leadershift: The 11 Essential Changes Every Leader Must Embrace</t>
  </si>
  <si>
    <t>John C. Maxwell</t>
  </si>
  <si>
    <t>Lean In: Women, Work, and the Will to Lead</t>
  </si>
  <si>
    <t>Sheryl Sandberg</t>
  </si>
  <si>
    <t>Light in August (Vintage American Gothic)</t>
  </si>
  <si>
    <t>William Faulkner</t>
  </si>
  <si>
    <t>Murder on the Orient Express</t>
  </si>
  <si>
    <t>Origins: How the Earth Shaped Human History</t>
  </si>
  <si>
    <t>Lewis Dartnell</t>
  </si>
  <si>
    <t>Persepolis I &amp; II</t>
  </si>
  <si>
    <t>Marjane Satrapi</t>
  </si>
  <si>
    <t>Phantoms in the Brain: Human Nature and the Architecture of the Mind</t>
  </si>
  <si>
    <t>V.S. Ramachandran</t>
  </si>
  <si>
    <t>Playing Big: For Women Who Want to Speak Up, Stand Out and Lead</t>
  </si>
  <si>
    <t>Tara Mohr</t>
  </si>
  <si>
    <t>Predictably Irrational: The Hidden Forces That Shape Our Decisions</t>
  </si>
  <si>
    <t>Ready Player One</t>
  </si>
  <si>
    <t>Ernest Cline</t>
  </si>
  <si>
    <t>The Alice Network</t>
  </si>
  <si>
    <t>Kate Quinn</t>
  </si>
  <si>
    <t>Couple Next Door: The Fast-Paced and Addictive Million-Copy Bestseller</t>
  </si>
  <si>
    <t>Shari Lapena</t>
  </si>
  <si>
    <t>Everything Store: Jeff Bezos and the Age of Amazon</t>
  </si>
  <si>
    <t>Brad Stone</t>
  </si>
  <si>
    <t>Godfather: The Classic Bestseller That Inspired the Legendary Film</t>
  </si>
  <si>
    <t>Mario Puzo</t>
  </si>
  <si>
    <t>Good Daughter</t>
  </si>
  <si>
    <t>Karin Slaughter</t>
  </si>
  <si>
    <t>Happiness Advantage: The Seven Principles of Positive Psychology That Fuel Success and Performance</t>
  </si>
  <si>
    <t>Shawn Achor</t>
  </si>
  <si>
    <t>The Hard Thing About Hard Things</t>
  </si>
  <si>
    <t>Ben Horowitz</t>
  </si>
  <si>
    <t>Hunt for Red October</t>
  </si>
  <si>
    <t>Tom Clancy</t>
  </si>
  <si>
    <t>Intelligent Investor Third Edition: The Definitive Book on Value Investing</t>
  </si>
  <si>
    <t>Benjamin Graham</t>
  </si>
  <si>
    <t>Light Between Oceans</t>
  </si>
  <si>
    <t>M.L. Stedman</t>
  </si>
  <si>
    <t>Light We Lost</t>
  </si>
  <si>
    <t>Jill Santopolo</t>
  </si>
  <si>
    <t>Lucifer Effect: How Good People Turn Evil</t>
  </si>
  <si>
    <t>Philip Zimbardo</t>
  </si>
  <si>
    <t>Naked Ape: A Zoologist's Study of the Human Animal</t>
  </si>
  <si>
    <t>Desmond Morris</t>
  </si>
  <si>
    <t>Night Circus</t>
  </si>
  <si>
    <t>Erin Morgenstern</t>
  </si>
  <si>
    <t>Origins of Political Order: From Prehuman Times to the French Revolution</t>
  </si>
  <si>
    <t>Francis Fukuyama</t>
  </si>
  <si>
    <t>Secret Adversary: A Tommy &amp; Tuppence Mystery</t>
  </si>
  <si>
    <t>Silence of the Lambs: (Hannibal Lecter)</t>
  </si>
  <si>
    <t>Thomas Harris</t>
  </si>
  <si>
    <t>The Social Leap</t>
  </si>
  <si>
    <t>William von Hippel</t>
  </si>
  <si>
    <t>Turn of the Key: A Gripping Psychological Thriller</t>
  </si>
  <si>
    <t>Ruth Ware</t>
  </si>
  <si>
    <t>Universe in a Nutshell: The Beautifully Illustrated Follow Up to Professor Stephen Hawking</t>
  </si>
  <si>
    <t>Woman in Cabin 10</t>
  </si>
  <si>
    <t>Year of Magical Thinking (Collins Modern Classics)</t>
  </si>
  <si>
    <t>Joan Didion</t>
  </si>
  <si>
    <t>To Kill a Mockingbird</t>
  </si>
  <si>
    <t>Harper Lee</t>
  </si>
  <si>
    <t>Untamed: Stop Pleasing, Start Living</t>
  </si>
  <si>
    <t>Glennon Doyle</t>
  </si>
  <si>
    <t>Why Nations Fail: From the Winners of the Nobel Prize in Economics: The Origins of Power, Prosperity</t>
  </si>
  <si>
    <t>Daron Acemoglu, James A. Robinson</t>
  </si>
  <si>
    <t>Zero to One: Notes on Startups, or How to Build the Future</t>
  </si>
  <si>
    <t>Peter Thiel</t>
  </si>
  <si>
    <t>Project Hail Mary</t>
  </si>
  <si>
    <t>Murder of Roger Ackroyd (Poirot)</t>
  </si>
  <si>
    <t>Complete Sherlock Holmes (Barnes &amp; Noble Collectible Classics: Omnibus Edition)</t>
  </si>
  <si>
    <t>Arthur Conan Doyle</t>
  </si>
  <si>
    <t>Norwegian Wood: Discover Haruki Murakami</t>
  </si>
  <si>
    <t>Haruki Murakami</t>
  </si>
  <si>
    <t>Kafka on the Shore</t>
  </si>
  <si>
    <t>Wind-up Bird Chronicle</t>
  </si>
  <si>
    <t>Think and Grow Rich</t>
  </si>
  <si>
    <t>Napoleon Hill</t>
  </si>
  <si>
    <t>Homo Deus: A Brief History of Tomorrow</t>
  </si>
  <si>
    <t>Behave: The Bestselling Exploration of Why Humans Behave as They Do</t>
  </si>
  <si>
    <t>Robert Sapolsky</t>
  </si>
  <si>
    <t>Sun Also Rises (Everyman's Library Classics)</t>
  </si>
  <si>
    <t>Ernest Hemingway</t>
  </si>
  <si>
    <t>Death of a Salesman</t>
  </si>
  <si>
    <t>Just Mercy</t>
  </si>
  <si>
    <t>Bryan Stevenson</t>
  </si>
  <si>
    <t>The Glass Universe</t>
  </si>
  <si>
    <t>Dava Sobel</t>
  </si>
  <si>
    <t>Infinite Game</t>
  </si>
  <si>
    <t>The Power of Myth</t>
  </si>
  <si>
    <t>Joseph Campbell</t>
  </si>
  <si>
    <t>The Road to Unfreedom</t>
  </si>
  <si>
    <t>Timothy Snyder</t>
  </si>
  <si>
    <t>I Know Why the Caged Bird Sings</t>
  </si>
  <si>
    <t>Maya Angelou</t>
  </si>
  <si>
    <t>A Promised Land</t>
  </si>
  <si>
    <t>Mutation</t>
  </si>
  <si>
    <t>The Grand Design</t>
  </si>
  <si>
    <t>Old Path, White Clouds</t>
  </si>
  <si>
    <t>Thich Nhat Hanh</t>
  </si>
  <si>
    <t>Measure What Matters: The Simple Idea That Drives 10x Growth</t>
  </si>
  <si>
    <t>John Doerr</t>
  </si>
  <si>
    <t>The Hound of the Baskervilles</t>
  </si>
  <si>
    <t>Prophet</t>
  </si>
  <si>
    <t>Kahlil Gibran</t>
  </si>
  <si>
    <t>Anthem</t>
  </si>
  <si>
    <t>Ayn Rand</t>
  </si>
  <si>
    <t>An Introduction to Arabic Calligraphy</t>
  </si>
  <si>
    <t>Shereen S. M. Z. A.</t>
  </si>
  <si>
    <t>SHEIKH ZAYED: Life and Times</t>
  </si>
  <si>
    <t>Michael J. K. Walsh</t>
  </si>
  <si>
    <t>Physics of the Future</t>
  </si>
  <si>
    <t>French-English Bilingual Visual Dictionary with Free Audio App (DK Bilingual Visual Dictionaries)</t>
  </si>
  <si>
    <t>Culture Smart! UAE</t>
  </si>
  <si>
    <t>Marion R. Casey</t>
  </si>
  <si>
    <t>The Shortest History of Europe</t>
  </si>
  <si>
    <t>John Hirst</t>
  </si>
  <si>
    <t>City of Djinns</t>
  </si>
  <si>
    <t>William Dalrymple</t>
  </si>
  <si>
    <t>Lonely Planet Oman, UAE &amp; Arabian Peninsula</t>
  </si>
  <si>
    <t>Lonely Planet</t>
  </si>
  <si>
    <t>Arabian Love Poems</t>
  </si>
  <si>
    <t>Various Authors</t>
  </si>
  <si>
    <t>The Yoga Sutras of Patanjali</t>
  </si>
  <si>
    <t>Swami Sivananda</t>
  </si>
  <si>
    <t>Relativity: The Special and the General Theory, 100th Anniversary Edition</t>
  </si>
  <si>
    <t>Albert Einstein</t>
  </si>
  <si>
    <t>How to Avoid a Climate Disaster</t>
  </si>
  <si>
    <t>Bill Gates</t>
  </si>
  <si>
    <t>Golden Road: How Ancient India Transformed the World</t>
  </si>
  <si>
    <t>David W. Macdonald</t>
  </si>
  <si>
    <t>Elegant Universe</t>
  </si>
  <si>
    <t>Quantum Supremacy: How the Quantum Computer Revolution Will Change Everything</t>
  </si>
  <si>
    <t>Arabic Short Stories for Beginners: 20 Captivating Short Stories to Learn Arabic &amp; Increase Your Vocabulary the Fun</t>
  </si>
  <si>
    <t>Olly Richards</t>
  </si>
  <si>
    <t>Desert Kingdoms to Global Powers</t>
  </si>
  <si>
    <t>Robert Lacey</t>
  </si>
  <si>
    <t>Lost Enlightenment</t>
  </si>
  <si>
    <t>Christopher L. C. 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</si>
</sst>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/d/yy"/>
    <numFmt numFmtId="166" formatCode="M/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&quot;Times New Roman&quot;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0" fillId="0" fontId="2" numFmtId="0" xfId="0" applyFont="1"/>
    <xf borderId="0" fillId="0" fontId="2" numFmtId="164" xfId="0" applyFont="1" applyNumberFormat="1"/>
    <xf borderId="3" fillId="0" fontId="4" numFmtId="0" xfId="0" applyAlignment="1" applyBorder="1" applyFont="1">
      <alignment horizontal="center" readingOrder="0"/>
    </xf>
    <xf borderId="0" fillId="0" fontId="2" numFmtId="165" xfId="0" applyAlignment="1" applyFont="1" applyNumberFormat="1">
      <alignment readingOrder="0"/>
    </xf>
    <xf borderId="3" fillId="0" fontId="4" numFmtId="166" xfId="0" applyAlignment="1" applyBorder="1" applyFont="1" applyNumberFormat="1">
      <alignment horizontal="center" readingOrder="0"/>
    </xf>
    <xf borderId="0" fillId="0" fontId="2" numFmtId="165" xfId="0" applyFont="1" applyNumberForma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" displayName="Form_Responses2" name="Form_Responses2" id="1">
  <tableColumns count="4">
    <tableColumn name="Timestamp" id="1"/>
    <tableColumn name="Borrower Name_x000a_" id="2"/>
    <tableColumn name="Entry No." id="3"/>
    <tableColumn name="ISBN" id="4"/>
  </tableColumns>
  <tableStyleInfo name="Form Responses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 ht="22.5" customHeight="1">
      <c r="A1" s="11" t="s">
        <v>97</v>
      </c>
      <c r="B1" s="12" t="s">
        <v>120</v>
      </c>
      <c r="C1" s="11" t="s">
        <v>136</v>
      </c>
      <c r="D1" s="11" t="s">
        <v>0</v>
      </c>
    </row>
    <row r="2" ht="22.5" customHeight="1">
      <c r="A2" s="13">
        <v>45803.953337314815</v>
      </c>
      <c r="B2" s="14" t="s">
        <v>151</v>
      </c>
      <c r="C2" s="14" t="s">
        <v>157</v>
      </c>
      <c r="D2" s="14">
        <v>9.780141184944E12</v>
      </c>
    </row>
    <row r="3" ht="22.5" customHeight="1">
      <c r="A3" s="15">
        <v>46072.69053212963</v>
      </c>
      <c r="B3" s="16" t="s">
        <v>171</v>
      </c>
      <c r="C3" s="16" t="s">
        <v>157</v>
      </c>
      <c r="D3" s="16">
        <v>9.780141184944E12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5" max="5" width="27.13"/>
    <col customWidth="1" min="6" max="6" width="38.5"/>
  </cols>
  <sheetData>
    <row r="1">
      <c r="A1" s="5" t="str">
        <f>IFERROR(__xludf.DUMMYFUNCTION("QUERY('Form Responses 2'!A:Z, ""SELECT A, B, C, D WHERE A IS NOT NULL"", 1)"),"Timestamp")</f>
        <v>Timestamp</v>
      </c>
      <c r="B1" s="5" t="str">
        <f>IFERROR(__xludf.DUMMYFUNCTION("""COMPUTED_VALUE"""),"Borrower Name
")</f>
        <v>Borrower Name
</v>
      </c>
      <c r="C1" s="5" t="str">
        <f>IFERROR(__xludf.DUMMYFUNCTION("""COMPUTED_VALUE"""),"Entry No.")</f>
        <v>Entry No.</v>
      </c>
      <c r="D1" s="5" t="str">
        <f>IFERROR(__xludf.DUMMYFUNCTION("""COMPUTED_VALUE"""),"ISBN")</f>
        <v>ISBN</v>
      </c>
      <c r="E1" s="2" t="s">
        <v>1</v>
      </c>
      <c r="F1" s="2" t="s">
        <v>5</v>
      </c>
      <c r="G1" s="2" t="s">
        <v>37</v>
      </c>
      <c r="H1" s="2" t="s">
        <v>40</v>
      </c>
      <c r="I1" s="2" t="s">
        <v>42</v>
      </c>
      <c r="J1" s="2" t="s">
        <v>45</v>
      </c>
    </row>
    <row r="2">
      <c r="A2" s="6">
        <f>IFERROR(__xludf.DUMMYFUNCTION("""COMPUTED_VALUE"""),45803.95333731482)</f>
        <v>45803.95334</v>
      </c>
      <c r="B2" s="5" t="str">
        <f>IFERROR(__xludf.DUMMYFUNCTION("""COMPUTED_VALUE"""),"Lokesh ")</f>
        <v>Lokesh </v>
      </c>
      <c r="C2" s="5" t="str">
        <f>IFERROR(__xludf.DUMMYFUNCTION("""COMPUTED_VALUE"""),"24A1EENB0062 ")</f>
        <v>24A1EENB0062 </v>
      </c>
      <c r="D2" s="5">
        <f>IFERROR(__xludf.DUMMYFUNCTION("""COMPUTED_VALUE"""),9.780141184944E12)</f>
        <v>9780141184944</v>
      </c>
      <c r="E2" s="5" t="str">
        <f>VLOOKUP(D2, BookDatabase!$A$2:$B$1000, 2, FALSE)</f>
        <v>Silent Spring (Penguin Modern Classics) -- Paperback / softback</v>
      </c>
      <c r="F2" s="2" t="s">
        <v>88</v>
      </c>
      <c r="G2" s="8">
        <v>45803.0</v>
      </c>
      <c r="H2" s="10">
        <f t="shared" ref="H2:H235" si="1">IF(G2&lt;&gt;"", G2 + 7, "")</f>
        <v>45810</v>
      </c>
      <c r="I2" s="8">
        <v>45803.0</v>
      </c>
      <c r="J2" s="5" t="str">
        <f t="shared" ref="J2:J235" si="2">IF(AND(ISNUMBER(H2), TODAY()&gt;H2), "Overdue", "")</f>
        <v>Overdue</v>
      </c>
    </row>
    <row r="3">
      <c r="A3" s="6">
        <f>IFERROR(__xludf.DUMMYFUNCTION("""COMPUTED_VALUE"""),46072.69053212963)</f>
        <v>46072.69053</v>
      </c>
      <c r="B3" s="5" t="str">
        <f>IFERROR(__xludf.DUMMYFUNCTION("""COMPUTED_VALUE"""),"Luv")</f>
        <v>Luv</v>
      </c>
      <c r="C3" s="5" t="str">
        <f>IFERROR(__xludf.DUMMYFUNCTION("""COMPUTED_VALUE"""),"24A1EENB0062 ")</f>
        <v>24A1EENB0062 </v>
      </c>
      <c r="D3" s="5">
        <f>IFERROR(__xludf.DUMMYFUNCTION("""COMPUTED_VALUE"""),9.780141184944E12)</f>
        <v>9780141184944</v>
      </c>
      <c r="E3" s="5" t="str">
        <f>VLOOKUP(D3, BookDatabase!$A$2:$B$1000, 2, FALSE)</f>
        <v>Silent Spring (Penguin Modern Classics) -- Paperback / softback</v>
      </c>
      <c r="F3" s="2" t="s">
        <v>138</v>
      </c>
      <c r="G3" s="8"/>
      <c r="H3" s="5" t="str">
        <f t="shared" si="1"/>
        <v/>
      </c>
      <c r="I3" s="8"/>
      <c r="J3" s="5" t="str">
        <f t="shared" si="2"/>
        <v/>
      </c>
    </row>
    <row r="4">
      <c r="E4" s="5" t="str">
        <f>VLOOKUP(D4, BookDatabase!$A$2:$B$1000, 2, FALSE)</f>
        <v>#N/A</v>
      </c>
      <c r="F4" s="5" t="str">
        <f t="shared" ref="F4:F235" si="3">IF(A4&lt;&gt;"","In Processing","")</f>
        <v/>
      </c>
      <c r="G4" s="8"/>
      <c r="H4" s="5" t="str">
        <f t="shared" si="1"/>
        <v/>
      </c>
      <c r="J4" s="5" t="str">
        <f t="shared" si="2"/>
        <v/>
      </c>
    </row>
    <row r="5">
      <c r="E5" s="5" t="str">
        <f>VLOOKUP(D5, BookDatabase!$A$2:$B$1000, 2, FALSE)</f>
        <v>#N/A</v>
      </c>
      <c r="F5" s="5" t="str">
        <f t="shared" si="3"/>
        <v/>
      </c>
      <c r="G5" s="8"/>
      <c r="H5" s="5" t="str">
        <f t="shared" si="1"/>
        <v/>
      </c>
      <c r="J5" s="5" t="str">
        <f t="shared" si="2"/>
        <v/>
      </c>
    </row>
    <row r="6">
      <c r="E6" s="5" t="str">
        <f>VLOOKUP(D6, BookDatabase!$A$2:$B$1000, 2, FALSE)</f>
        <v>#N/A</v>
      </c>
      <c r="F6" s="5" t="str">
        <f t="shared" si="3"/>
        <v/>
      </c>
      <c r="G6" s="8"/>
      <c r="H6" s="5" t="str">
        <f t="shared" si="1"/>
        <v/>
      </c>
      <c r="J6" s="5" t="str">
        <f t="shared" si="2"/>
        <v/>
      </c>
    </row>
    <row r="7">
      <c r="E7" s="5" t="str">
        <f>VLOOKUP(D7, BookDatabase!$A$2:$B$1000, 2, FALSE)</f>
        <v>#N/A</v>
      </c>
      <c r="F7" s="5" t="str">
        <f t="shared" si="3"/>
        <v/>
      </c>
      <c r="G7" s="8"/>
      <c r="H7" s="5" t="str">
        <f t="shared" si="1"/>
        <v/>
      </c>
      <c r="J7" s="5" t="str">
        <f t="shared" si="2"/>
        <v/>
      </c>
    </row>
    <row r="8">
      <c r="E8" s="5" t="str">
        <f>VLOOKUP(D8, BookDatabase!$A$2:$B$1000, 2, FALSE)</f>
        <v>#N/A</v>
      </c>
      <c r="F8" s="5" t="str">
        <f t="shared" si="3"/>
        <v/>
      </c>
      <c r="H8" s="5" t="str">
        <f t="shared" si="1"/>
        <v/>
      </c>
      <c r="J8" s="5" t="str">
        <f t="shared" si="2"/>
        <v/>
      </c>
    </row>
    <row r="9">
      <c r="E9" s="5" t="str">
        <f>VLOOKUP(D9, BookDatabase!$A$2:$B$1000, 2, FALSE)</f>
        <v>#N/A</v>
      </c>
      <c r="F9" s="5" t="str">
        <f t="shared" si="3"/>
        <v/>
      </c>
      <c r="G9" s="8"/>
      <c r="H9" s="5" t="str">
        <f t="shared" si="1"/>
        <v/>
      </c>
      <c r="I9" s="8"/>
      <c r="J9" s="5" t="str">
        <f t="shared" si="2"/>
        <v/>
      </c>
    </row>
    <row r="10">
      <c r="E10" s="5" t="str">
        <f>VLOOKUP(D10, BookDatabase!$A$2:$B$1000, 2, FALSE)</f>
        <v>#N/A</v>
      </c>
      <c r="F10" s="5" t="str">
        <f t="shared" si="3"/>
        <v/>
      </c>
      <c r="G10" s="8"/>
      <c r="H10" s="5" t="str">
        <f t="shared" si="1"/>
        <v/>
      </c>
      <c r="J10" s="5" t="str">
        <f t="shared" si="2"/>
        <v/>
      </c>
    </row>
    <row r="11">
      <c r="E11" s="5" t="str">
        <f>VLOOKUP(D11, BookDatabase!$A$2:$B$1000, 2, FALSE)</f>
        <v>#N/A</v>
      </c>
      <c r="F11" s="5" t="str">
        <f t="shared" si="3"/>
        <v/>
      </c>
      <c r="G11" s="8"/>
      <c r="H11" s="5" t="str">
        <f t="shared" si="1"/>
        <v/>
      </c>
      <c r="J11" s="5" t="str">
        <f t="shared" si="2"/>
        <v/>
      </c>
    </row>
    <row r="12">
      <c r="E12" s="5" t="str">
        <f>VLOOKUP(D12, BookDatabase!$A$2:$B$1000, 2, FALSE)</f>
        <v>#N/A</v>
      </c>
      <c r="F12" s="5" t="str">
        <f t="shared" si="3"/>
        <v/>
      </c>
      <c r="G12" s="8"/>
      <c r="H12" s="5" t="str">
        <f t="shared" si="1"/>
        <v/>
      </c>
      <c r="J12" s="5" t="str">
        <f t="shared" si="2"/>
        <v/>
      </c>
    </row>
    <row r="13">
      <c r="E13" s="5" t="str">
        <f>VLOOKUP(D13, BookDatabase!$A$2:$B$1000, 2, FALSE)</f>
        <v>#N/A</v>
      </c>
      <c r="F13" s="5" t="str">
        <f t="shared" si="3"/>
        <v/>
      </c>
      <c r="G13" s="8"/>
      <c r="H13" s="5" t="str">
        <f t="shared" si="1"/>
        <v/>
      </c>
      <c r="J13" s="5" t="str">
        <f t="shared" si="2"/>
        <v/>
      </c>
    </row>
    <row r="14">
      <c r="E14" s="5" t="str">
        <f>VLOOKUP(D14, BookDatabase!$A$2:$B$1000, 2, FALSE)</f>
        <v>#N/A</v>
      </c>
      <c r="F14" s="5" t="str">
        <f t="shared" si="3"/>
        <v/>
      </c>
      <c r="G14" s="8"/>
      <c r="H14" s="5" t="str">
        <f t="shared" si="1"/>
        <v/>
      </c>
      <c r="J14" s="5" t="str">
        <f t="shared" si="2"/>
        <v/>
      </c>
    </row>
    <row r="15">
      <c r="E15" s="5" t="str">
        <f>VLOOKUP(D15, BookDatabase!$A$2:$B$1000, 2, FALSE)</f>
        <v>#N/A</v>
      </c>
      <c r="F15" s="5" t="str">
        <f t="shared" si="3"/>
        <v/>
      </c>
      <c r="G15" s="8"/>
      <c r="H15" s="5" t="str">
        <f t="shared" si="1"/>
        <v/>
      </c>
      <c r="J15" s="5" t="str">
        <f t="shared" si="2"/>
        <v/>
      </c>
    </row>
    <row r="16">
      <c r="E16" s="5" t="str">
        <f>VLOOKUP(D16, BookDatabase!$A$2:$B$1000, 2, FALSE)</f>
        <v>#N/A</v>
      </c>
      <c r="F16" s="5" t="str">
        <f t="shared" si="3"/>
        <v/>
      </c>
      <c r="G16" s="8"/>
      <c r="H16" s="5" t="str">
        <f t="shared" si="1"/>
        <v/>
      </c>
      <c r="J16" s="5" t="str">
        <f t="shared" si="2"/>
        <v/>
      </c>
    </row>
    <row r="17">
      <c r="E17" s="5" t="str">
        <f>VLOOKUP(D17, BookDatabase!$A$2:$B$1000, 2, FALSE)</f>
        <v>#N/A</v>
      </c>
      <c r="F17" s="5" t="str">
        <f t="shared" si="3"/>
        <v/>
      </c>
      <c r="G17" s="8"/>
      <c r="H17" s="5" t="str">
        <f t="shared" si="1"/>
        <v/>
      </c>
      <c r="J17" s="5" t="str">
        <f t="shared" si="2"/>
        <v/>
      </c>
    </row>
    <row r="18">
      <c r="E18" s="5" t="str">
        <f>VLOOKUP(D18, BookDatabase!$A$2:$B$1000, 2, FALSE)</f>
        <v>#N/A</v>
      </c>
      <c r="F18" s="5" t="str">
        <f t="shared" si="3"/>
        <v/>
      </c>
      <c r="G18" s="8"/>
      <c r="H18" s="5" t="str">
        <f t="shared" si="1"/>
        <v/>
      </c>
      <c r="J18" s="5" t="str">
        <f t="shared" si="2"/>
        <v/>
      </c>
    </row>
    <row r="19">
      <c r="E19" s="5" t="str">
        <f>VLOOKUP(D19, BookDatabase!$A$2:$B$1000, 2, FALSE)</f>
        <v>#N/A</v>
      </c>
      <c r="F19" s="5" t="str">
        <f t="shared" si="3"/>
        <v/>
      </c>
      <c r="G19" s="8"/>
      <c r="H19" s="5" t="str">
        <f t="shared" si="1"/>
        <v/>
      </c>
      <c r="J19" s="5" t="str">
        <f t="shared" si="2"/>
        <v/>
      </c>
    </row>
    <row r="20">
      <c r="E20" s="5" t="str">
        <f>VLOOKUP(D20, BookDatabase!$A$2:$B$1000, 2, FALSE)</f>
        <v>#N/A</v>
      </c>
      <c r="F20" s="5" t="str">
        <f t="shared" si="3"/>
        <v/>
      </c>
      <c r="G20" s="8"/>
      <c r="H20" s="5" t="str">
        <f t="shared" si="1"/>
        <v/>
      </c>
      <c r="J20" s="5" t="str">
        <f t="shared" si="2"/>
        <v/>
      </c>
    </row>
    <row r="21">
      <c r="E21" s="5" t="str">
        <f>VLOOKUP(D21, BookDatabase!$A$2:$B$1000, 2, FALSE)</f>
        <v>#N/A</v>
      </c>
      <c r="F21" s="5" t="str">
        <f t="shared" si="3"/>
        <v/>
      </c>
      <c r="G21" s="8"/>
      <c r="H21" s="5" t="str">
        <f t="shared" si="1"/>
        <v/>
      </c>
      <c r="J21" s="5" t="str">
        <f t="shared" si="2"/>
        <v/>
      </c>
    </row>
    <row r="22">
      <c r="E22" s="5" t="str">
        <f>VLOOKUP(D22, BookDatabase!$A$2:$B$1000, 2, FALSE)</f>
        <v>#N/A</v>
      </c>
      <c r="F22" s="5" t="str">
        <f t="shared" si="3"/>
        <v/>
      </c>
      <c r="G22" s="8"/>
      <c r="H22" s="5" t="str">
        <f t="shared" si="1"/>
        <v/>
      </c>
      <c r="J22" s="5" t="str">
        <f t="shared" si="2"/>
        <v/>
      </c>
    </row>
    <row r="23">
      <c r="E23" s="5" t="str">
        <f>VLOOKUP(D23, BookDatabase!$A$2:$B$1000, 2, FALSE)</f>
        <v>#N/A</v>
      </c>
      <c r="F23" s="5" t="str">
        <f t="shared" si="3"/>
        <v/>
      </c>
      <c r="G23" s="8"/>
      <c r="H23" s="5" t="str">
        <f t="shared" si="1"/>
        <v/>
      </c>
      <c r="J23" s="5" t="str">
        <f t="shared" si="2"/>
        <v/>
      </c>
    </row>
    <row r="24">
      <c r="E24" s="5" t="str">
        <f>VLOOKUP(D24, BookDatabase!$A$2:$B$1000, 2, FALSE)</f>
        <v>#N/A</v>
      </c>
      <c r="F24" s="5" t="str">
        <f t="shared" si="3"/>
        <v/>
      </c>
      <c r="G24" s="8"/>
      <c r="H24" s="5" t="str">
        <f t="shared" si="1"/>
        <v/>
      </c>
      <c r="J24" s="5" t="str">
        <f t="shared" si="2"/>
        <v/>
      </c>
    </row>
    <row r="25">
      <c r="E25" s="5" t="str">
        <f>VLOOKUP(D25, BookDatabase!$A$2:$B$1000, 2, FALSE)</f>
        <v>#N/A</v>
      </c>
      <c r="F25" s="5" t="str">
        <f t="shared" si="3"/>
        <v/>
      </c>
      <c r="G25" s="8"/>
      <c r="H25" s="5" t="str">
        <f t="shared" si="1"/>
        <v/>
      </c>
      <c r="J25" s="5" t="str">
        <f t="shared" si="2"/>
        <v/>
      </c>
    </row>
    <row r="26">
      <c r="E26" s="5" t="str">
        <f>VLOOKUP(D26, BookDatabase!$A$2:$B$1000, 2, FALSE)</f>
        <v>#N/A</v>
      </c>
      <c r="F26" s="5" t="str">
        <f t="shared" si="3"/>
        <v/>
      </c>
      <c r="G26" s="8"/>
      <c r="H26" s="5" t="str">
        <f t="shared" si="1"/>
        <v/>
      </c>
      <c r="J26" s="5" t="str">
        <f t="shared" si="2"/>
        <v/>
      </c>
    </row>
    <row r="27">
      <c r="E27" s="5" t="str">
        <f>VLOOKUP(D27, BookDatabase!$A$2:$B$1000, 2, FALSE)</f>
        <v>#N/A</v>
      </c>
      <c r="F27" s="5" t="str">
        <f t="shared" si="3"/>
        <v/>
      </c>
      <c r="G27" s="8"/>
      <c r="H27" s="5" t="str">
        <f t="shared" si="1"/>
        <v/>
      </c>
      <c r="J27" s="5" t="str">
        <f t="shared" si="2"/>
        <v/>
      </c>
    </row>
    <row r="28">
      <c r="E28" s="5" t="str">
        <f>VLOOKUP(D28, BookDatabase!$A$2:$B$1000, 2, FALSE)</f>
        <v>#N/A</v>
      </c>
      <c r="F28" s="5" t="str">
        <f t="shared" si="3"/>
        <v/>
      </c>
      <c r="G28" s="8"/>
      <c r="H28" s="5" t="str">
        <f t="shared" si="1"/>
        <v/>
      </c>
      <c r="J28" s="5" t="str">
        <f t="shared" si="2"/>
        <v/>
      </c>
    </row>
    <row r="29">
      <c r="E29" s="5" t="str">
        <f>VLOOKUP(D29, BookDatabase!$A$2:$B$1000, 2, FALSE)</f>
        <v>#N/A</v>
      </c>
      <c r="F29" s="5" t="str">
        <f t="shared" si="3"/>
        <v/>
      </c>
      <c r="G29" s="8"/>
      <c r="H29" s="5" t="str">
        <f t="shared" si="1"/>
        <v/>
      </c>
      <c r="J29" s="5" t="str">
        <f t="shared" si="2"/>
        <v/>
      </c>
    </row>
    <row r="30">
      <c r="E30" s="5" t="str">
        <f>VLOOKUP(D30, BookDatabase!$A$2:$B$1000, 2, FALSE)</f>
        <v>#N/A</v>
      </c>
      <c r="F30" s="5" t="str">
        <f t="shared" si="3"/>
        <v/>
      </c>
      <c r="G30" s="8"/>
      <c r="H30" s="5" t="str">
        <f t="shared" si="1"/>
        <v/>
      </c>
      <c r="J30" s="5" t="str">
        <f t="shared" si="2"/>
        <v/>
      </c>
    </row>
    <row r="31">
      <c r="E31" s="5" t="str">
        <f>VLOOKUP(D31, BookDatabase!$A$2:$B$1000, 2, FALSE)</f>
        <v>#N/A</v>
      </c>
      <c r="F31" s="5" t="str">
        <f t="shared" si="3"/>
        <v/>
      </c>
      <c r="G31" s="8"/>
      <c r="H31" s="5" t="str">
        <f t="shared" si="1"/>
        <v/>
      </c>
      <c r="J31" s="5" t="str">
        <f t="shared" si="2"/>
        <v/>
      </c>
    </row>
    <row r="32">
      <c r="E32" s="5" t="str">
        <f>VLOOKUP(D32, BookDatabase!$A$2:$B$1000, 2, FALSE)</f>
        <v>#N/A</v>
      </c>
      <c r="F32" s="5" t="str">
        <f t="shared" si="3"/>
        <v/>
      </c>
      <c r="G32" s="8"/>
      <c r="H32" s="5" t="str">
        <f t="shared" si="1"/>
        <v/>
      </c>
      <c r="J32" s="5" t="str">
        <f t="shared" si="2"/>
        <v/>
      </c>
    </row>
    <row r="33">
      <c r="E33" s="5" t="str">
        <f>VLOOKUP(D33, BookDatabase!$A$2:$B$1000, 2, FALSE)</f>
        <v>#N/A</v>
      </c>
      <c r="F33" s="5" t="str">
        <f t="shared" si="3"/>
        <v/>
      </c>
      <c r="G33" s="8"/>
      <c r="H33" s="5" t="str">
        <f t="shared" si="1"/>
        <v/>
      </c>
      <c r="J33" s="5" t="str">
        <f t="shared" si="2"/>
        <v/>
      </c>
    </row>
    <row r="34">
      <c r="E34" s="5" t="str">
        <f>VLOOKUP(D34, BookDatabase!$A$2:$B$1000, 2, FALSE)</f>
        <v>#N/A</v>
      </c>
      <c r="F34" s="5" t="str">
        <f t="shared" si="3"/>
        <v/>
      </c>
      <c r="G34" s="8"/>
      <c r="H34" s="5" t="str">
        <f t="shared" si="1"/>
        <v/>
      </c>
      <c r="J34" s="5" t="str">
        <f t="shared" si="2"/>
        <v/>
      </c>
    </row>
    <row r="35">
      <c r="E35" s="5" t="str">
        <f>VLOOKUP(D35, BookDatabase!$A$2:$B$1000, 2, FALSE)</f>
        <v>#N/A</v>
      </c>
      <c r="F35" s="5" t="str">
        <f t="shared" si="3"/>
        <v/>
      </c>
      <c r="G35" s="8"/>
      <c r="H35" s="5" t="str">
        <f t="shared" si="1"/>
        <v/>
      </c>
      <c r="J35" s="5" t="str">
        <f t="shared" si="2"/>
        <v/>
      </c>
    </row>
    <row r="36">
      <c r="E36" s="5" t="str">
        <f>VLOOKUP(D36, BookDatabase!$A$2:$B$1000, 2, FALSE)</f>
        <v>#N/A</v>
      </c>
      <c r="F36" s="5" t="str">
        <f t="shared" si="3"/>
        <v/>
      </c>
      <c r="G36" s="8"/>
      <c r="H36" s="5" t="str">
        <f t="shared" si="1"/>
        <v/>
      </c>
      <c r="J36" s="5" t="str">
        <f t="shared" si="2"/>
        <v/>
      </c>
    </row>
    <row r="37">
      <c r="E37" s="5" t="str">
        <f>VLOOKUP(D37, BookDatabase!$A$2:$B$1000, 2, FALSE)</f>
        <v>#N/A</v>
      </c>
      <c r="F37" s="5" t="str">
        <f t="shared" si="3"/>
        <v/>
      </c>
      <c r="G37" s="8"/>
      <c r="H37" s="5" t="str">
        <f t="shared" si="1"/>
        <v/>
      </c>
      <c r="J37" s="5" t="str">
        <f t="shared" si="2"/>
        <v/>
      </c>
    </row>
    <row r="38">
      <c r="E38" s="5" t="str">
        <f>VLOOKUP(D38, BookDatabase!$A$2:$B$1000, 2, FALSE)</f>
        <v>#N/A</v>
      </c>
      <c r="F38" s="5" t="str">
        <f t="shared" si="3"/>
        <v/>
      </c>
      <c r="G38" s="8"/>
      <c r="H38" s="5" t="str">
        <f t="shared" si="1"/>
        <v/>
      </c>
      <c r="J38" s="5" t="str">
        <f t="shared" si="2"/>
        <v/>
      </c>
    </row>
    <row r="39">
      <c r="E39" s="5" t="str">
        <f>VLOOKUP(D39, BookDatabase!$A$2:$B$1000, 2, FALSE)</f>
        <v>#N/A</v>
      </c>
      <c r="F39" s="5" t="str">
        <f t="shared" si="3"/>
        <v/>
      </c>
      <c r="G39" s="8"/>
      <c r="H39" s="5" t="str">
        <f t="shared" si="1"/>
        <v/>
      </c>
      <c r="J39" s="5" t="str">
        <f t="shared" si="2"/>
        <v/>
      </c>
    </row>
    <row r="40">
      <c r="E40" s="5" t="str">
        <f>VLOOKUP(D40, BookDatabase!$A$2:$B$1000, 2, FALSE)</f>
        <v>#N/A</v>
      </c>
      <c r="F40" s="5" t="str">
        <f t="shared" si="3"/>
        <v/>
      </c>
      <c r="G40" s="8"/>
      <c r="H40" s="5" t="str">
        <f t="shared" si="1"/>
        <v/>
      </c>
      <c r="J40" s="5" t="str">
        <f t="shared" si="2"/>
        <v/>
      </c>
    </row>
    <row r="41">
      <c r="E41" s="5" t="str">
        <f>VLOOKUP(D41, BookDatabase!$A$2:$B$1000, 2, FALSE)</f>
        <v>#N/A</v>
      </c>
      <c r="F41" s="5" t="str">
        <f t="shared" si="3"/>
        <v/>
      </c>
      <c r="G41" s="8"/>
      <c r="H41" s="5" t="str">
        <f t="shared" si="1"/>
        <v/>
      </c>
      <c r="J41" s="5" t="str">
        <f t="shared" si="2"/>
        <v/>
      </c>
    </row>
    <row r="42">
      <c r="E42" s="5" t="str">
        <f>VLOOKUP(D42, BookDatabase!$A$2:$B$1000, 2, FALSE)</f>
        <v>#N/A</v>
      </c>
      <c r="F42" s="5" t="str">
        <f t="shared" si="3"/>
        <v/>
      </c>
      <c r="G42" s="8"/>
      <c r="H42" s="5" t="str">
        <f t="shared" si="1"/>
        <v/>
      </c>
      <c r="J42" s="5" t="str">
        <f t="shared" si="2"/>
        <v/>
      </c>
    </row>
    <row r="43">
      <c r="E43" s="5" t="str">
        <f>VLOOKUP(D43, BookDatabase!$A$2:$B$1000, 2, FALSE)</f>
        <v>#N/A</v>
      </c>
      <c r="F43" s="5" t="str">
        <f t="shared" si="3"/>
        <v/>
      </c>
      <c r="G43" s="8"/>
      <c r="H43" s="5" t="str">
        <f t="shared" si="1"/>
        <v/>
      </c>
      <c r="J43" s="5" t="str">
        <f t="shared" si="2"/>
        <v/>
      </c>
    </row>
    <row r="44">
      <c r="E44" s="5" t="str">
        <f>VLOOKUP(D44, BookDatabase!$A$2:$B$1000, 2, FALSE)</f>
        <v>#N/A</v>
      </c>
      <c r="F44" s="5" t="str">
        <f t="shared" si="3"/>
        <v/>
      </c>
      <c r="G44" s="8"/>
      <c r="H44" s="5" t="str">
        <f t="shared" si="1"/>
        <v/>
      </c>
      <c r="J44" s="5" t="str">
        <f t="shared" si="2"/>
        <v/>
      </c>
    </row>
    <row r="45">
      <c r="E45" s="5" t="str">
        <f>VLOOKUP(D45, BookDatabase!$A$2:$B$1000, 2, FALSE)</f>
        <v>#N/A</v>
      </c>
      <c r="F45" s="5" t="str">
        <f t="shared" si="3"/>
        <v/>
      </c>
      <c r="G45" s="8"/>
      <c r="H45" s="5" t="str">
        <f t="shared" si="1"/>
        <v/>
      </c>
      <c r="J45" s="5" t="str">
        <f t="shared" si="2"/>
        <v/>
      </c>
    </row>
    <row r="46">
      <c r="E46" s="5" t="str">
        <f>VLOOKUP(D46, BookDatabase!$A$2:$B$1000, 2, FALSE)</f>
        <v>#N/A</v>
      </c>
      <c r="F46" s="5" t="str">
        <f t="shared" si="3"/>
        <v/>
      </c>
      <c r="G46" s="8"/>
      <c r="H46" s="5" t="str">
        <f t="shared" si="1"/>
        <v/>
      </c>
      <c r="J46" s="5" t="str">
        <f t="shared" si="2"/>
        <v/>
      </c>
    </row>
    <row r="47">
      <c r="E47" s="5" t="str">
        <f>VLOOKUP(D47, BookDatabase!$A$2:$B$1000, 2, FALSE)</f>
        <v>#N/A</v>
      </c>
      <c r="F47" s="5" t="str">
        <f t="shared" si="3"/>
        <v/>
      </c>
      <c r="G47" s="8"/>
      <c r="H47" s="5" t="str">
        <f t="shared" si="1"/>
        <v/>
      </c>
      <c r="J47" s="5" t="str">
        <f t="shared" si="2"/>
        <v/>
      </c>
    </row>
    <row r="48">
      <c r="E48" s="5" t="str">
        <f>VLOOKUP(D48, BookDatabase!$A$2:$B$1000, 2, FALSE)</f>
        <v>#N/A</v>
      </c>
      <c r="F48" s="5" t="str">
        <f t="shared" si="3"/>
        <v/>
      </c>
      <c r="G48" s="8"/>
      <c r="H48" s="5" t="str">
        <f t="shared" si="1"/>
        <v/>
      </c>
      <c r="J48" s="5" t="str">
        <f t="shared" si="2"/>
        <v/>
      </c>
    </row>
    <row r="49">
      <c r="E49" s="5" t="str">
        <f>VLOOKUP(D49, BookDatabase!$A$2:$B$1000, 2, FALSE)</f>
        <v>#N/A</v>
      </c>
      <c r="F49" s="5" t="str">
        <f t="shared" si="3"/>
        <v/>
      </c>
      <c r="G49" s="8"/>
      <c r="H49" s="5" t="str">
        <f t="shared" si="1"/>
        <v/>
      </c>
      <c r="J49" s="5" t="str">
        <f t="shared" si="2"/>
        <v/>
      </c>
    </row>
    <row r="50">
      <c r="E50" s="5" t="str">
        <f>VLOOKUP(D50, BookDatabase!$A$2:$B$1000, 2, FALSE)</f>
        <v>#N/A</v>
      </c>
      <c r="F50" s="5" t="str">
        <f t="shared" si="3"/>
        <v/>
      </c>
      <c r="H50" s="5" t="str">
        <f t="shared" si="1"/>
        <v/>
      </c>
      <c r="J50" s="5" t="str">
        <f t="shared" si="2"/>
        <v/>
      </c>
    </row>
    <row r="51">
      <c r="E51" s="5" t="str">
        <f>VLOOKUP(D51, BookDatabase!$A$2:$B$1000, 2, FALSE)</f>
        <v>#N/A</v>
      </c>
      <c r="F51" s="5" t="str">
        <f t="shared" si="3"/>
        <v/>
      </c>
      <c r="H51" s="5" t="str">
        <f t="shared" si="1"/>
        <v/>
      </c>
      <c r="J51" s="5" t="str">
        <f t="shared" si="2"/>
        <v/>
      </c>
    </row>
    <row r="52">
      <c r="E52" s="5" t="str">
        <f>VLOOKUP(D52, BookDatabase!$A$2:$B$1000, 2, FALSE)</f>
        <v>#N/A</v>
      </c>
      <c r="F52" s="5" t="str">
        <f t="shared" si="3"/>
        <v/>
      </c>
      <c r="H52" s="5" t="str">
        <f t="shared" si="1"/>
        <v/>
      </c>
      <c r="J52" s="5" t="str">
        <f t="shared" si="2"/>
        <v/>
      </c>
    </row>
    <row r="53">
      <c r="E53" s="5" t="str">
        <f>VLOOKUP(D53, BookDatabase!$A$2:$B$1000, 2, FALSE)</f>
        <v>#N/A</v>
      </c>
      <c r="F53" s="5" t="str">
        <f t="shared" si="3"/>
        <v/>
      </c>
      <c r="H53" s="5" t="str">
        <f t="shared" si="1"/>
        <v/>
      </c>
      <c r="J53" s="5" t="str">
        <f t="shared" si="2"/>
        <v/>
      </c>
    </row>
    <row r="54">
      <c r="E54" s="5" t="str">
        <f>VLOOKUP(D54, BookDatabase!$A$2:$B$1000, 2, FALSE)</f>
        <v>#N/A</v>
      </c>
      <c r="F54" s="5" t="str">
        <f t="shared" si="3"/>
        <v/>
      </c>
      <c r="H54" s="5" t="str">
        <f t="shared" si="1"/>
        <v/>
      </c>
      <c r="J54" s="5" t="str">
        <f t="shared" si="2"/>
        <v/>
      </c>
    </row>
    <row r="55">
      <c r="E55" s="5" t="str">
        <f>VLOOKUP(D55, BookDatabase!$A$2:$B$1000, 2, FALSE)</f>
        <v>#N/A</v>
      </c>
      <c r="F55" s="5" t="str">
        <f t="shared" si="3"/>
        <v/>
      </c>
      <c r="H55" s="5" t="str">
        <f t="shared" si="1"/>
        <v/>
      </c>
      <c r="J55" s="5" t="str">
        <f t="shared" si="2"/>
        <v/>
      </c>
    </row>
    <row r="56">
      <c r="E56" s="5" t="str">
        <f>VLOOKUP(D56, BookDatabase!$A$2:$B$1000, 2, FALSE)</f>
        <v>#N/A</v>
      </c>
      <c r="F56" s="5" t="str">
        <f t="shared" si="3"/>
        <v/>
      </c>
      <c r="H56" s="5" t="str">
        <f t="shared" si="1"/>
        <v/>
      </c>
      <c r="J56" s="5" t="str">
        <f t="shared" si="2"/>
        <v/>
      </c>
    </row>
    <row r="57">
      <c r="E57" s="5" t="str">
        <f>VLOOKUP(D57, BookDatabase!$A$2:$B$1000, 2, FALSE)</f>
        <v>#N/A</v>
      </c>
      <c r="F57" s="5" t="str">
        <f t="shared" si="3"/>
        <v/>
      </c>
      <c r="H57" s="5" t="str">
        <f t="shared" si="1"/>
        <v/>
      </c>
      <c r="J57" s="5" t="str">
        <f t="shared" si="2"/>
        <v/>
      </c>
    </row>
    <row r="58">
      <c r="E58" s="5" t="str">
        <f>VLOOKUP(D58, BookDatabase!$A$2:$B$1000, 2, FALSE)</f>
        <v>#N/A</v>
      </c>
      <c r="F58" s="5" t="str">
        <f t="shared" si="3"/>
        <v/>
      </c>
      <c r="H58" s="5" t="str">
        <f t="shared" si="1"/>
        <v/>
      </c>
      <c r="J58" s="5" t="str">
        <f t="shared" si="2"/>
        <v/>
      </c>
    </row>
    <row r="59">
      <c r="E59" s="5" t="str">
        <f>VLOOKUP(D59, BookDatabase!$A$2:$B$1000, 2, FALSE)</f>
        <v>#N/A</v>
      </c>
      <c r="F59" s="5" t="str">
        <f t="shared" si="3"/>
        <v/>
      </c>
      <c r="H59" s="5" t="str">
        <f t="shared" si="1"/>
        <v/>
      </c>
      <c r="J59" s="5" t="str">
        <f t="shared" si="2"/>
        <v/>
      </c>
    </row>
    <row r="60">
      <c r="E60" s="5" t="str">
        <f>VLOOKUP(D60, BookDatabase!$A$2:$B$1000, 2, FALSE)</f>
        <v>#N/A</v>
      </c>
      <c r="F60" s="5" t="str">
        <f t="shared" si="3"/>
        <v/>
      </c>
      <c r="H60" s="5" t="str">
        <f t="shared" si="1"/>
        <v/>
      </c>
      <c r="J60" s="5" t="str">
        <f t="shared" si="2"/>
        <v/>
      </c>
    </row>
    <row r="61">
      <c r="E61" s="5" t="str">
        <f>VLOOKUP(D61, BookDatabase!$A$2:$B$1000, 2, FALSE)</f>
        <v>#N/A</v>
      </c>
      <c r="F61" s="5" t="str">
        <f t="shared" si="3"/>
        <v/>
      </c>
      <c r="H61" s="5" t="str">
        <f t="shared" si="1"/>
        <v/>
      </c>
      <c r="J61" s="5" t="str">
        <f t="shared" si="2"/>
        <v/>
      </c>
    </row>
    <row r="62">
      <c r="E62" s="5" t="str">
        <f>VLOOKUP(D62, BookDatabase!$A$2:$B$1000, 2, FALSE)</f>
        <v>#N/A</v>
      </c>
      <c r="F62" s="5" t="str">
        <f t="shared" si="3"/>
        <v/>
      </c>
      <c r="H62" s="5" t="str">
        <f t="shared" si="1"/>
        <v/>
      </c>
      <c r="J62" s="5" t="str">
        <f t="shared" si="2"/>
        <v/>
      </c>
    </row>
    <row r="63">
      <c r="E63" s="5" t="str">
        <f>VLOOKUP(D63, BookDatabase!$A$2:$B$1000, 2, FALSE)</f>
        <v>#N/A</v>
      </c>
      <c r="F63" s="5" t="str">
        <f t="shared" si="3"/>
        <v/>
      </c>
      <c r="H63" s="5" t="str">
        <f t="shared" si="1"/>
        <v/>
      </c>
      <c r="J63" s="5" t="str">
        <f t="shared" si="2"/>
        <v/>
      </c>
    </row>
    <row r="64">
      <c r="E64" s="5" t="str">
        <f>VLOOKUP(D64, BookDatabase!$A$2:$B$1000, 2, FALSE)</f>
        <v>#N/A</v>
      </c>
      <c r="F64" s="5" t="str">
        <f t="shared" si="3"/>
        <v/>
      </c>
      <c r="H64" s="5" t="str">
        <f t="shared" si="1"/>
        <v/>
      </c>
      <c r="J64" s="5" t="str">
        <f t="shared" si="2"/>
        <v/>
      </c>
    </row>
    <row r="65">
      <c r="E65" s="5" t="str">
        <f>VLOOKUP(D65, BookDatabase!$A$2:$B$1000, 2, FALSE)</f>
        <v>#N/A</v>
      </c>
      <c r="F65" s="5" t="str">
        <f t="shared" si="3"/>
        <v/>
      </c>
      <c r="H65" s="5" t="str">
        <f t="shared" si="1"/>
        <v/>
      </c>
      <c r="J65" s="5" t="str">
        <f t="shared" si="2"/>
        <v/>
      </c>
    </row>
    <row r="66">
      <c r="E66" s="5" t="str">
        <f>VLOOKUP(D66, BookDatabase!$A$2:$B$1000, 2, FALSE)</f>
        <v>#N/A</v>
      </c>
      <c r="F66" s="5" t="str">
        <f t="shared" si="3"/>
        <v/>
      </c>
      <c r="H66" s="5" t="str">
        <f t="shared" si="1"/>
        <v/>
      </c>
      <c r="J66" s="5" t="str">
        <f t="shared" si="2"/>
        <v/>
      </c>
    </row>
    <row r="67">
      <c r="E67" s="5" t="str">
        <f>VLOOKUP(D67, BookDatabase!$A$2:$B$1000, 2, FALSE)</f>
        <v>#N/A</v>
      </c>
      <c r="F67" s="5" t="str">
        <f t="shared" si="3"/>
        <v/>
      </c>
      <c r="H67" s="5" t="str">
        <f t="shared" si="1"/>
        <v/>
      </c>
      <c r="J67" s="5" t="str">
        <f t="shared" si="2"/>
        <v/>
      </c>
    </row>
    <row r="68">
      <c r="E68" s="5" t="str">
        <f>VLOOKUP(D68, BookDatabase!$A$2:$B$1000, 2, FALSE)</f>
        <v>#N/A</v>
      </c>
      <c r="F68" s="5" t="str">
        <f t="shared" si="3"/>
        <v/>
      </c>
      <c r="H68" s="5" t="str">
        <f t="shared" si="1"/>
        <v/>
      </c>
      <c r="J68" s="5" t="str">
        <f t="shared" si="2"/>
        <v/>
      </c>
    </row>
    <row r="69">
      <c r="E69" s="5" t="str">
        <f>VLOOKUP(D69, BookDatabase!$A$2:$B$1000, 2, FALSE)</f>
        <v>#N/A</v>
      </c>
      <c r="F69" s="5" t="str">
        <f t="shared" si="3"/>
        <v/>
      </c>
      <c r="H69" s="5" t="str">
        <f t="shared" si="1"/>
        <v/>
      </c>
      <c r="J69" s="5" t="str">
        <f t="shared" si="2"/>
        <v/>
      </c>
    </row>
    <row r="70">
      <c r="E70" s="5" t="str">
        <f>VLOOKUP(D70, BookDatabase!$A$2:$B$1000, 2, FALSE)</f>
        <v>#N/A</v>
      </c>
      <c r="F70" s="5" t="str">
        <f t="shared" si="3"/>
        <v/>
      </c>
      <c r="H70" s="5" t="str">
        <f t="shared" si="1"/>
        <v/>
      </c>
      <c r="J70" s="5" t="str">
        <f t="shared" si="2"/>
        <v/>
      </c>
    </row>
    <row r="71">
      <c r="E71" s="5" t="str">
        <f>VLOOKUP(D71, BookDatabase!$A$2:$B$1000, 2, FALSE)</f>
        <v>#N/A</v>
      </c>
      <c r="F71" s="5" t="str">
        <f t="shared" si="3"/>
        <v/>
      </c>
      <c r="H71" s="5" t="str">
        <f t="shared" si="1"/>
        <v/>
      </c>
      <c r="J71" s="5" t="str">
        <f t="shared" si="2"/>
        <v/>
      </c>
    </row>
    <row r="72">
      <c r="E72" s="5" t="str">
        <f>VLOOKUP(D72, BookDatabase!$A$2:$B$1000, 2, FALSE)</f>
        <v>#N/A</v>
      </c>
      <c r="F72" s="5" t="str">
        <f t="shared" si="3"/>
        <v/>
      </c>
      <c r="H72" s="5" t="str">
        <f t="shared" si="1"/>
        <v/>
      </c>
      <c r="J72" s="5" t="str">
        <f t="shared" si="2"/>
        <v/>
      </c>
    </row>
    <row r="73">
      <c r="E73" s="5" t="str">
        <f>VLOOKUP(D73, BookDatabase!$A$2:$B$1000, 2, FALSE)</f>
        <v>#N/A</v>
      </c>
      <c r="F73" s="5" t="str">
        <f t="shared" si="3"/>
        <v/>
      </c>
      <c r="H73" s="5" t="str">
        <f t="shared" si="1"/>
        <v/>
      </c>
      <c r="J73" s="5" t="str">
        <f t="shared" si="2"/>
        <v/>
      </c>
    </row>
    <row r="74">
      <c r="E74" s="5" t="str">
        <f>VLOOKUP(D74, BookDatabase!$A$2:$B$1000, 2, FALSE)</f>
        <v>#N/A</v>
      </c>
      <c r="F74" s="5" t="str">
        <f t="shared" si="3"/>
        <v/>
      </c>
      <c r="H74" s="5" t="str">
        <f t="shared" si="1"/>
        <v/>
      </c>
      <c r="J74" s="5" t="str">
        <f t="shared" si="2"/>
        <v/>
      </c>
    </row>
    <row r="75">
      <c r="E75" s="5" t="str">
        <f>VLOOKUP(D75, BookDatabase!$A$2:$B$1000, 2, FALSE)</f>
        <v>#N/A</v>
      </c>
      <c r="F75" s="5" t="str">
        <f t="shared" si="3"/>
        <v/>
      </c>
      <c r="H75" s="5" t="str">
        <f t="shared" si="1"/>
        <v/>
      </c>
      <c r="J75" s="5" t="str">
        <f t="shared" si="2"/>
        <v/>
      </c>
    </row>
    <row r="76">
      <c r="E76" s="5" t="str">
        <f>VLOOKUP(D76, BookDatabase!$A$2:$B$1000, 2, FALSE)</f>
        <v>#N/A</v>
      </c>
      <c r="F76" s="5" t="str">
        <f t="shared" si="3"/>
        <v/>
      </c>
      <c r="H76" s="5" t="str">
        <f t="shared" si="1"/>
        <v/>
      </c>
      <c r="J76" s="5" t="str">
        <f t="shared" si="2"/>
        <v/>
      </c>
    </row>
    <row r="77">
      <c r="E77" s="5" t="str">
        <f>VLOOKUP(D77, BookDatabase!$A$2:$B$1000, 2, FALSE)</f>
        <v>#N/A</v>
      </c>
      <c r="F77" s="5" t="str">
        <f t="shared" si="3"/>
        <v/>
      </c>
      <c r="H77" s="5" t="str">
        <f t="shared" si="1"/>
        <v/>
      </c>
      <c r="J77" s="5" t="str">
        <f t="shared" si="2"/>
        <v/>
      </c>
    </row>
    <row r="78">
      <c r="E78" s="5" t="str">
        <f>VLOOKUP(D78, BookDatabase!$A$2:$B$1000, 2, FALSE)</f>
        <v>#N/A</v>
      </c>
      <c r="F78" s="5" t="str">
        <f t="shared" si="3"/>
        <v/>
      </c>
      <c r="H78" s="5" t="str">
        <f t="shared" si="1"/>
        <v/>
      </c>
      <c r="J78" s="5" t="str">
        <f t="shared" si="2"/>
        <v/>
      </c>
    </row>
    <row r="79">
      <c r="E79" s="5" t="str">
        <f>VLOOKUP(D79, BookDatabase!$A$2:$B$1000, 2, FALSE)</f>
        <v>#N/A</v>
      </c>
      <c r="F79" s="5" t="str">
        <f t="shared" si="3"/>
        <v/>
      </c>
      <c r="H79" s="5" t="str">
        <f t="shared" si="1"/>
        <v/>
      </c>
      <c r="J79" s="5" t="str">
        <f t="shared" si="2"/>
        <v/>
      </c>
    </row>
    <row r="80">
      <c r="E80" s="5" t="str">
        <f>VLOOKUP(D80, BookDatabase!$A$2:$B$1000, 2, FALSE)</f>
        <v>#N/A</v>
      </c>
      <c r="F80" s="5" t="str">
        <f t="shared" si="3"/>
        <v/>
      </c>
      <c r="H80" s="5" t="str">
        <f t="shared" si="1"/>
        <v/>
      </c>
      <c r="J80" s="5" t="str">
        <f t="shared" si="2"/>
        <v/>
      </c>
    </row>
    <row r="81">
      <c r="E81" s="5" t="str">
        <f>VLOOKUP(D81, BookDatabase!$A$2:$B$1000, 2, FALSE)</f>
        <v>#N/A</v>
      </c>
      <c r="F81" s="5" t="str">
        <f t="shared" si="3"/>
        <v/>
      </c>
      <c r="H81" s="5" t="str">
        <f t="shared" si="1"/>
        <v/>
      </c>
      <c r="J81" s="5" t="str">
        <f t="shared" si="2"/>
        <v/>
      </c>
    </row>
    <row r="82">
      <c r="E82" s="5" t="str">
        <f>VLOOKUP(D82, BookDatabase!$A$2:$B$1000, 2, FALSE)</f>
        <v>#N/A</v>
      </c>
      <c r="F82" s="5" t="str">
        <f t="shared" si="3"/>
        <v/>
      </c>
      <c r="H82" s="5" t="str">
        <f t="shared" si="1"/>
        <v/>
      </c>
      <c r="J82" s="5" t="str">
        <f t="shared" si="2"/>
        <v/>
      </c>
    </row>
    <row r="83">
      <c r="E83" s="5" t="str">
        <f>VLOOKUP(D83, BookDatabase!$A$2:$B$1000, 2, FALSE)</f>
        <v>#N/A</v>
      </c>
      <c r="F83" s="5" t="str">
        <f t="shared" si="3"/>
        <v/>
      </c>
      <c r="H83" s="5" t="str">
        <f t="shared" si="1"/>
        <v/>
      </c>
      <c r="J83" s="5" t="str">
        <f t="shared" si="2"/>
        <v/>
      </c>
    </row>
    <row r="84">
      <c r="E84" s="5" t="str">
        <f>VLOOKUP(D84, BookDatabase!$A$2:$B$1000, 2, FALSE)</f>
        <v>#N/A</v>
      </c>
      <c r="F84" s="5" t="str">
        <f t="shared" si="3"/>
        <v/>
      </c>
      <c r="H84" s="5" t="str">
        <f t="shared" si="1"/>
        <v/>
      </c>
      <c r="J84" s="5" t="str">
        <f t="shared" si="2"/>
        <v/>
      </c>
    </row>
    <row r="85">
      <c r="E85" s="5" t="str">
        <f>VLOOKUP(D85, BookDatabase!$A$2:$B$1000, 2, FALSE)</f>
        <v>#N/A</v>
      </c>
      <c r="F85" s="5" t="str">
        <f t="shared" si="3"/>
        <v/>
      </c>
      <c r="H85" s="5" t="str">
        <f t="shared" si="1"/>
        <v/>
      </c>
      <c r="J85" s="5" t="str">
        <f t="shared" si="2"/>
        <v/>
      </c>
    </row>
    <row r="86">
      <c r="E86" s="5" t="str">
        <f>VLOOKUP(D86, BookDatabase!$A$2:$B$1000, 2, FALSE)</f>
        <v>#N/A</v>
      </c>
      <c r="F86" s="5" t="str">
        <f t="shared" si="3"/>
        <v/>
      </c>
      <c r="H86" s="5" t="str">
        <f t="shared" si="1"/>
        <v/>
      </c>
      <c r="J86" s="5" t="str">
        <f t="shared" si="2"/>
        <v/>
      </c>
    </row>
    <row r="87">
      <c r="E87" s="5" t="str">
        <f>VLOOKUP(D87, BookDatabase!$A$2:$B$1000, 2, FALSE)</f>
        <v>#N/A</v>
      </c>
      <c r="F87" s="5" t="str">
        <f t="shared" si="3"/>
        <v/>
      </c>
      <c r="H87" s="5" t="str">
        <f t="shared" si="1"/>
        <v/>
      </c>
      <c r="J87" s="5" t="str">
        <f t="shared" si="2"/>
        <v/>
      </c>
    </row>
    <row r="88">
      <c r="E88" s="5" t="str">
        <f>VLOOKUP(D88, BookDatabase!$A$2:$B$1000, 2, FALSE)</f>
        <v>#N/A</v>
      </c>
      <c r="F88" s="5" t="str">
        <f t="shared" si="3"/>
        <v/>
      </c>
      <c r="H88" s="5" t="str">
        <f t="shared" si="1"/>
        <v/>
      </c>
      <c r="J88" s="5" t="str">
        <f t="shared" si="2"/>
        <v/>
      </c>
    </row>
    <row r="89">
      <c r="E89" s="5" t="str">
        <f>VLOOKUP(D89, BookDatabase!$A$2:$B$1000, 2, FALSE)</f>
        <v>#N/A</v>
      </c>
      <c r="F89" s="5" t="str">
        <f t="shared" si="3"/>
        <v/>
      </c>
      <c r="H89" s="5" t="str">
        <f t="shared" si="1"/>
        <v/>
      </c>
      <c r="J89" s="5" t="str">
        <f t="shared" si="2"/>
        <v/>
      </c>
    </row>
    <row r="90">
      <c r="E90" s="5" t="str">
        <f>VLOOKUP(D90, BookDatabase!$A$2:$B$1000, 2, FALSE)</f>
        <v>#N/A</v>
      </c>
      <c r="F90" s="5" t="str">
        <f t="shared" si="3"/>
        <v/>
      </c>
      <c r="H90" s="5" t="str">
        <f t="shared" si="1"/>
        <v/>
      </c>
      <c r="J90" s="5" t="str">
        <f t="shared" si="2"/>
        <v/>
      </c>
    </row>
    <row r="91">
      <c r="E91" s="5" t="str">
        <f>VLOOKUP(D91, BookDatabase!$A$2:$B$1000, 2, FALSE)</f>
        <v>#N/A</v>
      </c>
      <c r="F91" s="5" t="str">
        <f t="shared" si="3"/>
        <v/>
      </c>
      <c r="H91" s="5" t="str">
        <f t="shared" si="1"/>
        <v/>
      </c>
      <c r="J91" s="5" t="str">
        <f t="shared" si="2"/>
        <v/>
      </c>
    </row>
    <row r="92">
      <c r="E92" s="5" t="str">
        <f>VLOOKUP(D92, BookDatabase!$A$2:$B$1000, 2, FALSE)</f>
        <v>#N/A</v>
      </c>
      <c r="F92" s="5" t="str">
        <f t="shared" si="3"/>
        <v/>
      </c>
      <c r="H92" s="5" t="str">
        <f t="shared" si="1"/>
        <v/>
      </c>
      <c r="J92" s="5" t="str">
        <f t="shared" si="2"/>
        <v/>
      </c>
    </row>
    <row r="93">
      <c r="E93" s="5" t="str">
        <f>VLOOKUP(D93, BookDatabase!$A$2:$B$1000, 2, FALSE)</f>
        <v>#N/A</v>
      </c>
      <c r="F93" s="5" t="str">
        <f t="shared" si="3"/>
        <v/>
      </c>
      <c r="H93" s="5" t="str">
        <f t="shared" si="1"/>
        <v/>
      </c>
      <c r="J93" s="5" t="str">
        <f t="shared" si="2"/>
        <v/>
      </c>
    </row>
    <row r="94">
      <c r="E94" s="5" t="str">
        <f>VLOOKUP(D94, BookDatabase!$A$2:$B$1000, 2, FALSE)</f>
        <v>#N/A</v>
      </c>
      <c r="F94" s="5" t="str">
        <f t="shared" si="3"/>
        <v/>
      </c>
      <c r="H94" s="5" t="str">
        <f t="shared" si="1"/>
        <v/>
      </c>
      <c r="J94" s="5" t="str">
        <f t="shared" si="2"/>
        <v/>
      </c>
    </row>
    <row r="95">
      <c r="E95" s="5" t="str">
        <f>VLOOKUP(D95, BookDatabase!$A$2:$B$1000, 2, FALSE)</f>
        <v>#N/A</v>
      </c>
      <c r="F95" s="5" t="str">
        <f t="shared" si="3"/>
        <v/>
      </c>
      <c r="H95" s="5" t="str">
        <f t="shared" si="1"/>
        <v/>
      </c>
      <c r="J95" s="5" t="str">
        <f t="shared" si="2"/>
        <v/>
      </c>
    </row>
    <row r="96">
      <c r="E96" s="5" t="str">
        <f>VLOOKUP(D96, BookDatabase!$A$2:$B$1000, 2, FALSE)</f>
        <v>#N/A</v>
      </c>
      <c r="F96" s="5" t="str">
        <f t="shared" si="3"/>
        <v/>
      </c>
      <c r="H96" s="5" t="str">
        <f t="shared" si="1"/>
        <v/>
      </c>
      <c r="J96" s="5" t="str">
        <f t="shared" si="2"/>
        <v/>
      </c>
    </row>
    <row r="97">
      <c r="E97" s="5" t="str">
        <f>VLOOKUP(D97, BookDatabase!$A$2:$B$1000, 2, FALSE)</f>
        <v>#N/A</v>
      </c>
      <c r="F97" s="5" t="str">
        <f t="shared" si="3"/>
        <v/>
      </c>
      <c r="H97" s="5" t="str">
        <f t="shared" si="1"/>
        <v/>
      </c>
      <c r="J97" s="5" t="str">
        <f t="shared" si="2"/>
        <v/>
      </c>
    </row>
    <row r="98">
      <c r="E98" s="5" t="str">
        <f>VLOOKUP(D98, BookDatabase!$A$2:$B$1000, 2, FALSE)</f>
        <v>#N/A</v>
      </c>
      <c r="F98" s="5" t="str">
        <f t="shared" si="3"/>
        <v/>
      </c>
      <c r="H98" s="5" t="str">
        <f t="shared" si="1"/>
        <v/>
      </c>
      <c r="J98" s="5" t="str">
        <f t="shared" si="2"/>
        <v/>
      </c>
    </row>
    <row r="99">
      <c r="E99" s="5" t="str">
        <f>VLOOKUP(D99, BookDatabase!$A$2:$B$1000, 2, FALSE)</f>
        <v>#N/A</v>
      </c>
      <c r="F99" s="5" t="str">
        <f t="shared" si="3"/>
        <v/>
      </c>
      <c r="H99" s="5" t="str">
        <f t="shared" si="1"/>
        <v/>
      </c>
      <c r="J99" s="5" t="str">
        <f t="shared" si="2"/>
        <v/>
      </c>
    </row>
    <row r="100">
      <c r="E100" s="5" t="str">
        <f>VLOOKUP(D100, BookDatabase!$A$2:$B$1000, 2, FALSE)</f>
        <v>#N/A</v>
      </c>
      <c r="F100" s="5" t="str">
        <f t="shared" si="3"/>
        <v/>
      </c>
      <c r="H100" s="5" t="str">
        <f t="shared" si="1"/>
        <v/>
      </c>
      <c r="J100" s="5" t="str">
        <f t="shared" si="2"/>
        <v/>
      </c>
    </row>
    <row r="101">
      <c r="E101" s="5" t="str">
        <f>VLOOKUP(D101, BookDatabase!$A$2:$B$1000, 2, FALSE)</f>
        <v>#N/A</v>
      </c>
      <c r="F101" s="5" t="str">
        <f t="shared" si="3"/>
        <v/>
      </c>
      <c r="H101" s="5" t="str">
        <f t="shared" si="1"/>
        <v/>
      </c>
      <c r="J101" s="5" t="str">
        <f t="shared" si="2"/>
        <v/>
      </c>
    </row>
    <row r="102">
      <c r="E102" s="5" t="str">
        <f>VLOOKUP(D102, BookDatabase!$A$2:$B$1000, 2, FALSE)</f>
        <v>#N/A</v>
      </c>
      <c r="F102" s="5" t="str">
        <f t="shared" si="3"/>
        <v/>
      </c>
      <c r="H102" s="5" t="str">
        <f t="shared" si="1"/>
        <v/>
      </c>
      <c r="J102" s="5" t="str">
        <f t="shared" si="2"/>
        <v/>
      </c>
    </row>
    <row r="103">
      <c r="E103" s="5" t="str">
        <f>VLOOKUP(D103, BookDatabase!$A$2:$B$1000, 2, FALSE)</f>
        <v>#N/A</v>
      </c>
      <c r="F103" s="5" t="str">
        <f t="shared" si="3"/>
        <v/>
      </c>
      <c r="H103" s="5" t="str">
        <f t="shared" si="1"/>
        <v/>
      </c>
      <c r="J103" s="5" t="str">
        <f t="shared" si="2"/>
        <v/>
      </c>
    </row>
    <row r="104">
      <c r="E104" s="5" t="str">
        <f>VLOOKUP(D104, BookDatabase!$A$2:$B$1000, 2, FALSE)</f>
        <v>#N/A</v>
      </c>
      <c r="F104" s="5" t="str">
        <f t="shared" si="3"/>
        <v/>
      </c>
      <c r="H104" s="5" t="str">
        <f t="shared" si="1"/>
        <v/>
      </c>
      <c r="J104" s="5" t="str">
        <f t="shared" si="2"/>
        <v/>
      </c>
    </row>
    <row r="105">
      <c r="E105" s="5" t="str">
        <f>VLOOKUP(D105, BookDatabase!$A$2:$B$1000, 2, FALSE)</f>
        <v>#N/A</v>
      </c>
      <c r="F105" s="5" t="str">
        <f t="shared" si="3"/>
        <v/>
      </c>
      <c r="H105" s="5" t="str">
        <f t="shared" si="1"/>
        <v/>
      </c>
      <c r="J105" s="5" t="str">
        <f t="shared" si="2"/>
        <v/>
      </c>
    </row>
    <row r="106">
      <c r="E106" s="5" t="str">
        <f>VLOOKUP(D106, BookDatabase!$A$2:$B$1000, 2, FALSE)</f>
        <v>#N/A</v>
      </c>
      <c r="F106" s="5" t="str">
        <f t="shared" si="3"/>
        <v/>
      </c>
      <c r="H106" s="5" t="str">
        <f t="shared" si="1"/>
        <v/>
      </c>
      <c r="J106" s="5" t="str">
        <f t="shared" si="2"/>
        <v/>
      </c>
    </row>
    <row r="107">
      <c r="E107" s="5" t="str">
        <f>VLOOKUP(D107, BookDatabase!$A$2:$B$1000, 2, FALSE)</f>
        <v>#N/A</v>
      </c>
      <c r="F107" s="5" t="str">
        <f t="shared" si="3"/>
        <v/>
      </c>
      <c r="H107" s="5" t="str">
        <f t="shared" si="1"/>
        <v/>
      </c>
      <c r="J107" s="5" t="str">
        <f t="shared" si="2"/>
        <v/>
      </c>
    </row>
    <row r="108">
      <c r="E108" s="5" t="str">
        <f>VLOOKUP(D108, BookDatabase!$A$2:$B$1000, 2, FALSE)</f>
        <v>#N/A</v>
      </c>
      <c r="F108" s="5" t="str">
        <f t="shared" si="3"/>
        <v/>
      </c>
      <c r="H108" s="5" t="str">
        <f t="shared" si="1"/>
        <v/>
      </c>
      <c r="J108" s="5" t="str">
        <f t="shared" si="2"/>
        <v/>
      </c>
    </row>
    <row r="109">
      <c r="E109" s="5" t="str">
        <f>VLOOKUP(D109, BookDatabase!$A$2:$B$1000, 2, FALSE)</f>
        <v>#N/A</v>
      </c>
      <c r="F109" s="5" t="str">
        <f t="shared" si="3"/>
        <v/>
      </c>
      <c r="H109" s="5" t="str">
        <f t="shared" si="1"/>
        <v/>
      </c>
      <c r="J109" s="5" t="str">
        <f t="shared" si="2"/>
        <v/>
      </c>
    </row>
    <row r="110">
      <c r="E110" s="5" t="str">
        <f>VLOOKUP(D110, BookDatabase!$A$2:$B$1000, 2, FALSE)</f>
        <v>#N/A</v>
      </c>
      <c r="F110" s="5" t="str">
        <f t="shared" si="3"/>
        <v/>
      </c>
      <c r="H110" s="5" t="str">
        <f t="shared" si="1"/>
        <v/>
      </c>
      <c r="J110" s="5" t="str">
        <f t="shared" si="2"/>
        <v/>
      </c>
    </row>
    <row r="111">
      <c r="E111" s="5" t="str">
        <f>VLOOKUP(D111, BookDatabase!$A$2:$B$1000, 2, FALSE)</f>
        <v>#N/A</v>
      </c>
      <c r="F111" s="5" t="str">
        <f t="shared" si="3"/>
        <v/>
      </c>
      <c r="H111" s="5" t="str">
        <f t="shared" si="1"/>
        <v/>
      </c>
      <c r="J111" s="5" t="str">
        <f t="shared" si="2"/>
        <v/>
      </c>
    </row>
    <row r="112">
      <c r="E112" s="5" t="str">
        <f>VLOOKUP(D112, BookDatabase!$A$2:$B$1000, 2, FALSE)</f>
        <v>#N/A</v>
      </c>
      <c r="F112" s="5" t="str">
        <f t="shared" si="3"/>
        <v/>
      </c>
      <c r="H112" s="5" t="str">
        <f t="shared" si="1"/>
        <v/>
      </c>
      <c r="J112" s="5" t="str">
        <f t="shared" si="2"/>
        <v/>
      </c>
    </row>
    <row r="113">
      <c r="E113" s="5" t="str">
        <f>VLOOKUP(D113, BookDatabase!$A$2:$B$1000, 2, FALSE)</f>
        <v>#N/A</v>
      </c>
      <c r="F113" s="5" t="str">
        <f t="shared" si="3"/>
        <v/>
      </c>
      <c r="H113" s="5" t="str">
        <f t="shared" si="1"/>
        <v/>
      </c>
      <c r="J113" s="5" t="str">
        <f t="shared" si="2"/>
        <v/>
      </c>
    </row>
    <row r="114">
      <c r="E114" s="5" t="str">
        <f>VLOOKUP(D114, BookDatabase!$A$2:$B$1000, 2, FALSE)</f>
        <v>#N/A</v>
      </c>
      <c r="F114" s="5" t="str">
        <f t="shared" si="3"/>
        <v/>
      </c>
      <c r="H114" s="5" t="str">
        <f t="shared" si="1"/>
        <v/>
      </c>
      <c r="J114" s="5" t="str">
        <f t="shared" si="2"/>
        <v/>
      </c>
    </row>
    <row r="115">
      <c r="E115" s="5" t="str">
        <f>VLOOKUP(D115, BookDatabase!$A$2:$B$1000, 2, FALSE)</f>
        <v>#N/A</v>
      </c>
      <c r="F115" s="5" t="str">
        <f t="shared" si="3"/>
        <v/>
      </c>
      <c r="H115" s="5" t="str">
        <f t="shared" si="1"/>
        <v/>
      </c>
      <c r="J115" s="5" t="str">
        <f t="shared" si="2"/>
        <v/>
      </c>
    </row>
    <row r="116">
      <c r="E116" s="5" t="str">
        <f>VLOOKUP(D116, BookDatabase!$A$2:$B$1000, 2, FALSE)</f>
        <v>#N/A</v>
      </c>
      <c r="F116" s="5" t="str">
        <f t="shared" si="3"/>
        <v/>
      </c>
      <c r="H116" s="5" t="str">
        <f t="shared" si="1"/>
        <v/>
      </c>
      <c r="J116" s="5" t="str">
        <f t="shared" si="2"/>
        <v/>
      </c>
    </row>
    <row r="117">
      <c r="E117" s="5" t="str">
        <f>VLOOKUP(D117, BookDatabase!$A$2:$B$1000, 2, FALSE)</f>
        <v>#N/A</v>
      </c>
      <c r="F117" s="5" t="str">
        <f t="shared" si="3"/>
        <v/>
      </c>
      <c r="H117" s="5" t="str">
        <f t="shared" si="1"/>
        <v/>
      </c>
      <c r="J117" s="5" t="str">
        <f t="shared" si="2"/>
        <v/>
      </c>
    </row>
    <row r="118">
      <c r="E118" s="5" t="str">
        <f>VLOOKUP(D118, BookDatabase!$A$2:$B$1000, 2, FALSE)</f>
        <v>#N/A</v>
      </c>
      <c r="F118" s="5" t="str">
        <f t="shared" si="3"/>
        <v/>
      </c>
      <c r="H118" s="5" t="str">
        <f t="shared" si="1"/>
        <v/>
      </c>
      <c r="J118" s="5" t="str">
        <f t="shared" si="2"/>
        <v/>
      </c>
    </row>
    <row r="119">
      <c r="E119" s="5" t="str">
        <f>VLOOKUP(D119, BookDatabase!$A$2:$B$1000, 2, FALSE)</f>
        <v>#N/A</v>
      </c>
      <c r="F119" s="5" t="str">
        <f t="shared" si="3"/>
        <v/>
      </c>
      <c r="H119" s="5" t="str">
        <f t="shared" si="1"/>
        <v/>
      </c>
      <c r="J119" s="5" t="str">
        <f t="shared" si="2"/>
        <v/>
      </c>
    </row>
    <row r="120">
      <c r="E120" s="5" t="str">
        <f>VLOOKUP(D120, BookDatabase!$A$2:$B$1000, 2, FALSE)</f>
        <v>#N/A</v>
      </c>
      <c r="F120" s="5" t="str">
        <f t="shared" si="3"/>
        <v/>
      </c>
      <c r="H120" s="5" t="str">
        <f t="shared" si="1"/>
        <v/>
      </c>
      <c r="J120" s="5" t="str">
        <f t="shared" si="2"/>
        <v/>
      </c>
    </row>
    <row r="121">
      <c r="E121" s="5" t="str">
        <f>VLOOKUP(D121, BookDatabase!$A$2:$B$1000, 2, FALSE)</f>
        <v>#N/A</v>
      </c>
      <c r="F121" s="5" t="str">
        <f t="shared" si="3"/>
        <v/>
      </c>
      <c r="H121" s="5" t="str">
        <f t="shared" si="1"/>
        <v/>
      </c>
      <c r="J121" s="5" t="str">
        <f t="shared" si="2"/>
        <v/>
      </c>
    </row>
    <row r="122">
      <c r="E122" s="5" t="str">
        <f>VLOOKUP(D122, BookDatabase!$A$2:$B$1000, 2, FALSE)</f>
        <v>#N/A</v>
      </c>
      <c r="F122" s="5" t="str">
        <f t="shared" si="3"/>
        <v/>
      </c>
      <c r="H122" s="5" t="str">
        <f t="shared" si="1"/>
        <v/>
      </c>
      <c r="J122" s="5" t="str">
        <f t="shared" si="2"/>
        <v/>
      </c>
    </row>
    <row r="123">
      <c r="E123" s="5" t="str">
        <f>VLOOKUP(D123, BookDatabase!$A$2:$B$1000, 2, FALSE)</f>
        <v>#N/A</v>
      </c>
      <c r="F123" s="5" t="str">
        <f t="shared" si="3"/>
        <v/>
      </c>
      <c r="H123" s="5" t="str">
        <f t="shared" si="1"/>
        <v/>
      </c>
      <c r="J123" s="5" t="str">
        <f t="shared" si="2"/>
        <v/>
      </c>
    </row>
    <row r="124">
      <c r="E124" s="5" t="str">
        <f>VLOOKUP(D124, BookDatabase!$A$2:$B$1000, 2, FALSE)</f>
        <v>#N/A</v>
      </c>
      <c r="F124" s="5" t="str">
        <f t="shared" si="3"/>
        <v/>
      </c>
      <c r="H124" s="5" t="str">
        <f t="shared" si="1"/>
        <v/>
      </c>
      <c r="J124" s="5" t="str">
        <f t="shared" si="2"/>
        <v/>
      </c>
    </row>
    <row r="125">
      <c r="E125" s="5" t="str">
        <f>VLOOKUP(D125, BookDatabase!$A$2:$B$1000, 2, FALSE)</f>
        <v>#N/A</v>
      </c>
      <c r="F125" s="5" t="str">
        <f t="shared" si="3"/>
        <v/>
      </c>
      <c r="H125" s="5" t="str">
        <f t="shared" si="1"/>
        <v/>
      </c>
      <c r="J125" s="5" t="str">
        <f t="shared" si="2"/>
        <v/>
      </c>
    </row>
    <row r="126">
      <c r="E126" s="5" t="str">
        <f>VLOOKUP(D126, BookDatabase!$A$2:$B$1000, 2, FALSE)</f>
        <v>#N/A</v>
      </c>
      <c r="F126" s="5" t="str">
        <f t="shared" si="3"/>
        <v/>
      </c>
      <c r="H126" s="5" t="str">
        <f t="shared" si="1"/>
        <v/>
      </c>
      <c r="J126" s="5" t="str">
        <f t="shared" si="2"/>
        <v/>
      </c>
    </row>
    <row r="127">
      <c r="E127" s="5" t="str">
        <f>VLOOKUP(D127, BookDatabase!$A$2:$B$1000, 2, FALSE)</f>
        <v>#N/A</v>
      </c>
      <c r="F127" s="5" t="str">
        <f t="shared" si="3"/>
        <v/>
      </c>
      <c r="H127" s="5" t="str">
        <f t="shared" si="1"/>
        <v/>
      </c>
      <c r="J127" s="5" t="str">
        <f t="shared" si="2"/>
        <v/>
      </c>
    </row>
    <row r="128">
      <c r="E128" s="5" t="str">
        <f>VLOOKUP(D128, BookDatabase!$A$2:$B$1000, 2, FALSE)</f>
        <v>#N/A</v>
      </c>
      <c r="F128" s="5" t="str">
        <f t="shared" si="3"/>
        <v/>
      </c>
      <c r="H128" s="5" t="str">
        <f t="shared" si="1"/>
        <v/>
      </c>
      <c r="J128" s="5" t="str">
        <f t="shared" si="2"/>
        <v/>
      </c>
    </row>
    <row r="129">
      <c r="E129" s="5" t="str">
        <f>VLOOKUP(D129, BookDatabase!$A$2:$B$1000, 2, FALSE)</f>
        <v>#N/A</v>
      </c>
      <c r="F129" s="5" t="str">
        <f t="shared" si="3"/>
        <v/>
      </c>
      <c r="H129" s="5" t="str">
        <f t="shared" si="1"/>
        <v/>
      </c>
      <c r="J129" s="5" t="str">
        <f t="shared" si="2"/>
        <v/>
      </c>
    </row>
    <row r="130">
      <c r="E130" s="5" t="str">
        <f>VLOOKUP(D130, BookDatabase!$A$2:$B$1000, 2, FALSE)</f>
        <v>#N/A</v>
      </c>
      <c r="F130" s="5" t="str">
        <f t="shared" si="3"/>
        <v/>
      </c>
      <c r="H130" s="5" t="str">
        <f t="shared" si="1"/>
        <v/>
      </c>
      <c r="J130" s="5" t="str">
        <f t="shared" si="2"/>
        <v/>
      </c>
    </row>
    <row r="131">
      <c r="E131" s="5" t="str">
        <f>VLOOKUP(D131, BookDatabase!$A$2:$B$1000, 2, FALSE)</f>
        <v>#N/A</v>
      </c>
      <c r="F131" s="5" t="str">
        <f t="shared" si="3"/>
        <v/>
      </c>
      <c r="H131" s="5" t="str">
        <f t="shared" si="1"/>
        <v/>
      </c>
      <c r="J131" s="5" t="str">
        <f t="shared" si="2"/>
        <v/>
      </c>
    </row>
    <row r="132">
      <c r="E132" s="5" t="str">
        <f>VLOOKUP(D132, BookDatabase!$A$2:$B$1000, 2, FALSE)</f>
        <v>#N/A</v>
      </c>
      <c r="F132" s="5" t="str">
        <f t="shared" si="3"/>
        <v/>
      </c>
      <c r="H132" s="5" t="str">
        <f t="shared" si="1"/>
        <v/>
      </c>
      <c r="J132" s="5" t="str">
        <f t="shared" si="2"/>
        <v/>
      </c>
    </row>
    <row r="133">
      <c r="E133" s="5" t="str">
        <f>VLOOKUP(D133, BookDatabase!$A$2:$B$1000, 2, FALSE)</f>
        <v>#N/A</v>
      </c>
      <c r="F133" s="5" t="str">
        <f t="shared" si="3"/>
        <v/>
      </c>
      <c r="H133" s="5" t="str">
        <f t="shared" si="1"/>
        <v/>
      </c>
      <c r="J133" s="5" t="str">
        <f t="shared" si="2"/>
        <v/>
      </c>
    </row>
    <row r="134">
      <c r="E134" s="5" t="str">
        <f>VLOOKUP(D134, BookDatabase!$A$2:$B$1000, 2, FALSE)</f>
        <v>#N/A</v>
      </c>
      <c r="F134" s="5" t="str">
        <f t="shared" si="3"/>
        <v/>
      </c>
      <c r="H134" s="5" t="str">
        <f t="shared" si="1"/>
        <v/>
      </c>
      <c r="J134" s="5" t="str">
        <f t="shared" si="2"/>
        <v/>
      </c>
    </row>
    <row r="135">
      <c r="E135" s="5" t="str">
        <f>VLOOKUP(D135, BookDatabase!$A$2:$B$1000, 2, FALSE)</f>
        <v>#N/A</v>
      </c>
      <c r="F135" s="5" t="str">
        <f t="shared" si="3"/>
        <v/>
      </c>
      <c r="H135" s="5" t="str">
        <f t="shared" si="1"/>
        <v/>
      </c>
      <c r="J135" s="5" t="str">
        <f t="shared" si="2"/>
        <v/>
      </c>
    </row>
    <row r="136">
      <c r="E136" s="5" t="str">
        <f>VLOOKUP(D136, BookDatabase!$A$2:$B$1000, 2, FALSE)</f>
        <v>#N/A</v>
      </c>
      <c r="F136" s="5" t="str">
        <f t="shared" si="3"/>
        <v/>
      </c>
      <c r="H136" s="5" t="str">
        <f t="shared" si="1"/>
        <v/>
      </c>
      <c r="J136" s="5" t="str">
        <f t="shared" si="2"/>
        <v/>
      </c>
    </row>
    <row r="137">
      <c r="E137" s="5" t="str">
        <f>VLOOKUP(D137, BookDatabase!$A$2:$B$1000, 2, FALSE)</f>
        <v>#N/A</v>
      </c>
      <c r="F137" s="5" t="str">
        <f t="shared" si="3"/>
        <v/>
      </c>
      <c r="H137" s="5" t="str">
        <f t="shared" si="1"/>
        <v/>
      </c>
      <c r="J137" s="5" t="str">
        <f t="shared" si="2"/>
        <v/>
      </c>
    </row>
    <row r="138">
      <c r="E138" s="5" t="str">
        <f>VLOOKUP(D138, BookDatabase!$A$2:$B$1000, 2, FALSE)</f>
        <v>#N/A</v>
      </c>
      <c r="F138" s="5" t="str">
        <f t="shared" si="3"/>
        <v/>
      </c>
      <c r="H138" s="5" t="str">
        <f t="shared" si="1"/>
        <v/>
      </c>
      <c r="J138" s="5" t="str">
        <f t="shared" si="2"/>
        <v/>
      </c>
    </row>
    <row r="139">
      <c r="E139" s="5" t="str">
        <f>VLOOKUP(D139, BookDatabase!$A$2:$B$1000, 2, FALSE)</f>
        <v>#N/A</v>
      </c>
      <c r="F139" s="5" t="str">
        <f t="shared" si="3"/>
        <v/>
      </c>
      <c r="H139" s="5" t="str">
        <f t="shared" si="1"/>
        <v/>
      </c>
      <c r="J139" s="5" t="str">
        <f t="shared" si="2"/>
        <v/>
      </c>
    </row>
    <row r="140">
      <c r="E140" s="5" t="str">
        <f>VLOOKUP(D140, BookDatabase!$A$2:$B$1000, 2, FALSE)</f>
        <v>#N/A</v>
      </c>
      <c r="F140" s="5" t="str">
        <f t="shared" si="3"/>
        <v/>
      </c>
      <c r="H140" s="5" t="str">
        <f t="shared" si="1"/>
        <v/>
      </c>
      <c r="J140" s="5" t="str">
        <f t="shared" si="2"/>
        <v/>
      </c>
    </row>
    <row r="141">
      <c r="E141" s="5" t="str">
        <f>VLOOKUP(D141, BookDatabase!$A$2:$B$1000, 2, FALSE)</f>
        <v>#N/A</v>
      </c>
      <c r="F141" s="5" t="str">
        <f t="shared" si="3"/>
        <v/>
      </c>
      <c r="H141" s="5" t="str">
        <f t="shared" si="1"/>
        <v/>
      </c>
      <c r="J141" s="5" t="str">
        <f t="shared" si="2"/>
        <v/>
      </c>
    </row>
    <row r="142">
      <c r="E142" s="5" t="str">
        <f>VLOOKUP(D142, BookDatabase!$A$2:$B$1000, 2, FALSE)</f>
        <v>#N/A</v>
      </c>
      <c r="F142" s="5" t="str">
        <f t="shared" si="3"/>
        <v/>
      </c>
      <c r="H142" s="5" t="str">
        <f t="shared" si="1"/>
        <v/>
      </c>
      <c r="J142" s="5" t="str">
        <f t="shared" si="2"/>
        <v/>
      </c>
    </row>
    <row r="143">
      <c r="E143" s="5" t="str">
        <f>VLOOKUP(D143, BookDatabase!$A$2:$B$1000, 2, FALSE)</f>
        <v>#N/A</v>
      </c>
      <c r="F143" s="5" t="str">
        <f t="shared" si="3"/>
        <v/>
      </c>
      <c r="H143" s="5" t="str">
        <f t="shared" si="1"/>
        <v/>
      </c>
      <c r="J143" s="5" t="str">
        <f t="shared" si="2"/>
        <v/>
      </c>
    </row>
    <row r="144">
      <c r="E144" s="5" t="str">
        <f>VLOOKUP(D144, BookDatabase!$A$2:$B$1000, 2, FALSE)</f>
        <v>#N/A</v>
      </c>
      <c r="F144" s="5" t="str">
        <f t="shared" si="3"/>
        <v/>
      </c>
      <c r="H144" s="5" t="str">
        <f t="shared" si="1"/>
        <v/>
      </c>
      <c r="J144" s="5" t="str">
        <f t="shared" si="2"/>
        <v/>
      </c>
    </row>
    <row r="145">
      <c r="E145" s="5" t="str">
        <f>VLOOKUP(D145, BookDatabase!$A$2:$B$1000, 2, FALSE)</f>
        <v>#N/A</v>
      </c>
      <c r="F145" s="5" t="str">
        <f t="shared" si="3"/>
        <v/>
      </c>
      <c r="H145" s="5" t="str">
        <f t="shared" si="1"/>
        <v/>
      </c>
      <c r="J145" s="5" t="str">
        <f t="shared" si="2"/>
        <v/>
      </c>
    </row>
    <row r="146">
      <c r="E146" s="5" t="str">
        <f>VLOOKUP(D146, BookDatabase!$A$2:$B$1000, 2, FALSE)</f>
        <v>#N/A</v>
      </c>
      <c r="F146" s="5" t="str">
        <f t="shared" si="3"/>
        <v/>
      </c>
      <c r="H146" s="5" t="str">
        <f t="shared" si="1"/>
        <v/>
      </c>
      <c r="J146" s="5" t="str">
        <f t="shared" si="2"/>
        <v/>
      </c>
    </row>
    <row r="147">
      <c r="E147" s="5" t="str">
        <f>VLOOKUP(D147, BookDatabase!$A$2:$B$1000, 2, FALSE)</f>
        <v>#N/A</v>
      </c>
      <c r="F147" s="5" t="str">
        <f t="shared" si="3"/>
        <v/>
      </c>
      <c r="H147" s="5" t="str">
        <f t="shared" si="1"/>
        <v/>
      </c>
      <c r="J147" s="5" t="str">
        <f t="shared" si="2"/>
        <v/>
      </c>
    </row>
    <row r="148">
      <c r="E148" s="5" t="str">
        <f>VLOOKUP(D148, BookDatabase!$A$2:$B$1000, 2, FALSE)</f>
        <v>#N/A</v>
      </c>
      <c r="F148" s="5" t="str">
        <f t="shared" si="3"/>
        <v/>
      </c>
      <c r="H148" s="5" t="str">
        <f t="shared" si="1"/>
        <v/>
      </c>
      <c r="J148" s="5" t="str">
        <f t="shared" si="2"/>
        <v/>
      </c>
    </row>
    <row r="149">
      <c r="E149" s="5" t="str">
        <f>VLOOKUP(D149, BookDatabase!$A$2:$B$1000, 2, FALSE)</f>
        <v>#N/A</v>
      </c>
      <c r="F149" s="5" t="str">
        <f t="shared" si="3"/>
        <v/>
      </c>
      <c r="H149" s="5" t="str">
        <f t="shared" si="1"/>
        <v/>
      </c>
      <c r="J149" s="5" t="str">
        <f t="shared" si="2"/>
        <v/>
      </c>
    </row>
    <row r="150">
      <c r="E150" s="5" t="str">
        <f>VLOOKUP(D150, BookDatabase!$A$2:$B$1000, 2, FALSE)</f>
        <v>#N/A</v>
      </c>
      <c r="F150" s="5" t="str">
        <f t="shared" si="3"/>
        <v/>
      </c>
      <c r="H150" s="5" t="str">
        <f t="shared" si="1"/>
        <v/>
      </c>
      <c r="J150" s="5" t="str">
        <f t="shared" si="2"/>
        <v/>
      </c>
    </row>
    <row r="151">
      <c r="E151" s="5" t="str">
        <f>VLOOKUP(D151, BookDatabase!$A$2:$B$1000, 2, FALSE)</f>
        <v>#N/A</v>
      </c>
      <c r="F151" s="5" t="str">
        <f t="shared" si="3"/>
        <v/>
      </c>
      <c r="H151" s="5" t="str">
        <f t="shared" si="1"/>
        <v/>
      </c>
      <c r="J151" s="5" t="str">
        <f t="shared" si="2"/>
        <v/>
      </c>
    </row>
    <row r="152">
      <c r="E152" s="5" t="str">
        <f>VLOOKUP(D152, BookDatabase!$A$2:$B$1000, 2, FALSE)</f>
        <v>#N/A</v>
      </c>
      <c r="F152" s="5" t="str">
        <f t="shared" si="3"/>
        <v/>
      </c>
      <c r="H152" s="5" t="str">
        <f t="shared" si="1"/>
        <v/>
      </c>
      <c r="J152" s="5" t="str">
        <f t="shared" si="2"/>
        <v/>
      </c>
    </row>
    <row r="153">
      <c r="E153" s="5" t="str">
        <f>VLOOKUP(D153, BookDatabase!$A$2:$B$1000, 2, FALSE)</f>
        <v>#N/A</v>
      </c>
      <c r="F153" s="5" t="str">
        <f t="shared" si="3"/>
        <v/>
      </c>
      <c r="H153" s="5" t="str">
        <f t="shared" si="1"/>
        <v/>
      </c>
      <c r="J153" s="5" t="str">
        <f t="shared" si="2"/>
        <v/>
      </c>
    </row>
    <row r="154">
      <c r="E154" s="5" t="str">
        <f>VLOOKUP(D154, BookDatabase!$A$2:$B$1000, 2, FALSE)</f>
        <v>#N/A</v>
      </c>
      <c r="F154" s="5" t="str">
        <f t="shared" si="3"/>
        <v/>
      </c>
      <c r="H154" s="5" t="str">
        <f t="shared" si="1"/>
        <v/>
      </c>
      <c r="J154" s="5" t="str">
        <f t="shared" si="2"/>
        <v/>
      </c>
    </row>
    <row r="155">
      <c r="E155" s="5" t="str">
        <f>VLOOKUP(D155, BookDatabase!$A$2:$B$1000, 2, FALSE)</f>
        <v>#N/A</v>
      </c>
      <c r="F155" s="5" t="str">
        <f t="shared" si="3"/>
        <v/>
      </c>
      <c r="H155" s="5" t="str">
        <f t="shared" si="1"/>
        <v/>
      </c>
      <c r="J155" s="5" t="str">
        <f t="shared" si="2"/>
        <v/>
      </c>
    </row>
    <row r="156">
      <c r="E156" s="5" t="str">
        <f>VLOOKUP(D156, BookDatabase!$A$2:$B$1000, 2, FALSE)</f>
        <v>#N/A</v>
      </c>
      <c r="F156" s="5" t="str">
        <f t="shared" si="3"/>
        <v/>
      </c>
      <c r="H156" s="5" t="str">
        <f t="shared" si="1"/>
        <v/>
      </c>
      <c r="J156" s="5" t="str">
        <f t="shared" si="2"/>
        <v/>
      </c>
    </row>
    <row r="157">
      <c r="E157" s="5" t="str">
        <f>VLOOKUP(D157, BookDatabase!$A$2:$B$1000, 2, FALSE)</f>
        <v>#N/A</v>
      </c>
      <c r="F157" s="5" t="str">
        <f t="shared" si="3"/>
        <v/>
      </c>
      <c r="H157" s="5" t="str">
        <f t="shared" si="1"/>
        <v/>
      </c>
      <c r="J157" s="5" t="str">
        <f t="shared" si="2"/>
        <v/>
      </c>
    </row>
    <row r="158">
      <c r="E158" s="5" t="str">
        <f>VLOOKUP(D158, BookDatabase!$A$2:$B$1000, 2, FALSE)</f>
        <v>#N/A</v>
      </c>
      <c r="F158" s="5" t="str">
        <f t="shared" si="3"/>
        <v/>
      </c>
      <c r="H158" s="5" t="str">
        <f t="shared" si="1"/>
        <v/>
      </c>
      <c r="J158" s="5" t="str">
        <f t="shared" si="2"/>
        <v/>
      </c>
    </row>
    <row r="159">
      <c r="E159" s="5" t="str">
        <f>VLOOKUP(D159, BookDatabase!$A$2:$B$1000, 2, FALSE)</f>
        <v>#N/A</v>
      </c>
      <c r="F159" s="5" t="str">
        <f t="shared" si="3"/>
        <v/>
      </c>
      <c r="H159" s="5" t="str">
        <f t="shared" si="1"/>
        <v/>
      </c>
      <c r="J159" s="5" t="str">
        <f t="shared" si="2"/>
        <v/>
      </c>
    </row>
    <row r="160">
      <c r="E160" s="5" t="str">
        <f>VLOOKUP(D160, BookDatabase!$A$2:$B$1000, 2, FALSE)</f>
        <v>#N/A</v>
      </c>
      <c r="F160" s="5" t="str">
        <f t="shared" si="3"/>
        <v/>
      </c>
      <c r="H160" s="5" t="str">
        <f t="shared" si="1"/>
        <v/>
      </c>
      <c r="J160" s="5" t="str">
        <f t="shared" si="2"/>
        <v/>
      </c>
    </row>
    <row r="161">
      <c r="E161" s="5" t="str">
        <f>VLOOKUP(D161, BookDatabase!$A$2:$B$1000, 2, FALSE)</f>
        <v>#N/A</v>
      </c>
      <c r="F161" s="5" t="str">
        <f t="shared" si="3"/>
        <v/>
      </c>
      <c r="H161" s="5" t="str">
        <f t="shared" si="1"/>
        <v/>
      </c>
      <c r="J161" s="5" t="str">
        <f t="shared" si="2"/>
        <v/>
      </c>
    </row>
    <row r="162">
      <c r="E162" s="5" t="str">
        <f>VLOOKUP(D162, BookDatabase!$A$2:$B$1000, 2, FALSE)</f>
        <v>#N/A</v>
      </c>
      <c r="F162" s="5" t="str">
        <f t="shared" si="3"/>
        <v/>
      </c>
      <c r="H162" s="5" t="str">
        <f t="shared" si="1"/>
        <v/>
      </c>
      <c r="J162" s="5" t="str">
        <f t="shared" si="2"/>
        <v/>
      </c>
    </row>
    <row r="163">
      <c r="E163" s="5" t="str">
        <f>VLOOKUP(D163, BookDatabase!$A$2:$B$1000, 2, FALSE)</f>
        <v>#N/A</v>
      </c>
      <c r="F163" s="5" t="str">
        <f t="shared" si="3"/>
        <v/>
      </c>
      <c r="H163" s="5" t="str">
        <f t="shared" si="1"/>
        <v/>
      </c>
      <c r="J163" s="5" t="str">
        <f t="shared" si="2"/>
        <v/>
      </c>
    </row>
    <row r="164">
      <c r="E164" s="5" t="str">
        <f>VLOOKUP(D164, BookDatabase!$A$2:$B$1000, 2, FALSE)</f>
        <v>#N/A</v>
      </c>
      <c r="F164" s="5" t="str">
        <f t="shared" si="3"/>
        <v/>
      </c>
      <c r="H164" s="5" t="str">
        <f t="shared" si="1"/>
        <v/>
      </c>
      <c r="J164" s="5" t="str">
        <f t="shared" si="2"/>
        <v/>
      </c>
    </row>
    <row r="165">
      <c r="E165" s="5" t="str">
        <f>VLOOKUP(D165, BookDatabase!$A$2:$B$1000, 2, FALSE)</f>
        <v>#N/A</v>
      </c>
      <c r="F165" s="5" t="str">
        <f t="shared" si="3"/>
        <v/>
      </c>
      <c r="H165" s="5" t="str">
        <f t="shared" si="1"/>
        <v/>
      </c>
      <c r="J165" s="5" t="str">
        <f t="shared" si="2"/>
        <v/>
      </c>
    </row>
    <row r="166">
      <c r="E166" s="5" t="str">
        <f>VLOOKUP(D166, BookDatabase!$A$2:$B$1000, 2, FALSE)</f>
        <v>#N/A</v>
      </c>
      <c r="F166" s="5" t="str">
        <f t="shared" si="3"/>
        <v/>
      </c>
      <c r="H166" s="5" t="str">
        <f t="shared" si="1"/>
        <v/>
      </c>
      <c r="J166" s="5" t="str">
        <f t="shared" si="2"/>
        <v/>
      </c>
    </row>
    <row r="167">
      <c r="E167" s="5" t="str">
        <f>VLOOKUP(D167, BookDatabase!$A$2:$B$1000, 2, FALSE)</f>
        <v>#N/A</v>
      </c>
      <c r="F167" s="5" t="str">
        <f t="shared" si="3"/>
        <v/>
      </c>
      <c r="H167" s="5" t="str">
        <f t="shared" si="1"/>
        <v/>
      </c>
      <c r="J167" s="5" t="str">
        <f t="shared" si="2"/>
        <v/>
      </c>
    </row>
    <row r="168">
      <c r="E168" s="5" t="str">
        <f>VLOOKUP(D168, BookDatabase!$A$2:$B$1000, 2, FALSE)</f>
        <v>#N/A</v>
      </c>
      <c r="F168" s="5" t="str">
        <f t="shared" si="3"/>
        <v/>
      </c>
      <c r="H168" s="5" t="str">
        <f t="shared" si="1"/>
        <v/>
      </c>
      <c r="J168" s="5" t="str">
        <f t="shared" si="2"/>
        <v/>
      </c>
    </row>
    <row r="169">
      <c r="E169" s="5" t="str">
        <f>VLOOKUP(D169, BookDatabase!$A$2:$B$1000, 2, FALSE)</f>
        <v>#N/A</v>
      </c>
      <c r="F169" s="5" t="str">
        <f t="shared" si="3"/>
        <v/>
      </c>
      <c r="H169" s="5" t="str">
        <f t="shared" si="1"/>
        <v/>
      </c>
      <c r="J169" s="5" t="str">
        <f t="shared" si="2"/>
        <v/>
      </c>
    </row>
    <row r="170">
      <c r="E170" s="5" t="str">
        <f>VLOOKUP(D170, BookDatabase!$A$2:$B$1000, 2, FALSE)</f>
        <v>#N/A</v>
      </c>
      <c r="F170" s="5" t="str">
        <f t="shared" si="3"/>
        <v/>
      </c>
      <c r="H170" s="5" t="str">
        <f t="shared" si="1"/>
        <v/>
      </c>
      <c r="J170" s="5" t="str">
        <f t="shared" si="2"/>
        <v/>
      </c>
    </row>
    <row r="171">
      <c r="E171" s="5" t="str">
        <f>VLOOKUP(D171, BookDatabase!$A$2:$B$1000, 2, FALSE)</f>
        <v>#N/A</v>
      </c>
      <c r="F171" s="5" t="str">
        <f t="shared" si="3"/>
        <v/>
      </c>
      <c r="H171" s="5" t="str">
        <f t="shared" si="1"/>
        <v/>
      </c>
      <c r="J171" s="5" t="str">
        <f t="shared" si="2"/>
        <v/>
      </c>
    </row>
    <row r="172">
      <c r="E172" s="5" t="str">
        <f>VLOOKUP(D172, BookDatabase!$A$2:$B$1000, 2, FALSE)</f>
        <v>#N/A</v>
      </c>
      <c r="F172" s="5" t="str">
        <f t="shared" si="3"/>
        <v/>
      </c>
      <c r="H172" s="5" t="str">
        <f t="shared" si="1"/>
        <v/>
      </c>
      <c r="J172" s="5" t="str">
        <f t="shared" si="2"/>
        <v/>
      </c>
    </row>
    <row r="173">
      <c r="E173" s="5" t="str">
        <f>VLOOKUP(D173, BookDatabase!$A$2:$B$1000, 2, FALSE)</f>
        <v>#N/A</v>
      </c>
      <c r="F173" s="5" t="str">
        <f t="shared" si="3"/>
        <v/>
      </c>
      <c r="H173" s="5" t="str">
        <f t="shared" si="1"/>
        <v/>
      </c>
      <c r="J173" s="5" t="str">
        <f t="shared" si="2"/>
        <v/>
      </c>
    </row>
    <row r="174">
      <c r="E174" s="5" t="str">
        <f>VLOOKUP(D174, BookDatabase!$A$2:$B$1000, 2, FALSE)</f>
        <v>#N/A</v>
      </c>
      <c r="F174" s="5" t="str">
        <f t="shared" si="3"/>
        <v/>
      </c>
      <c r="H174" s="5" t="str">
        <f t="shared" si="1"/>
        <v/>
      </c>
      <c r="J174" s="5" t="str">
        <f t="shared" si="2"/>
        <v/>
      </c>
    </row>
    <row r="175">
      <c r="E175" s="5" t="str">
        <f>VLOOKUP(D175, BookDatabase!$A$2:$B$1000, 2, FALSE)</f>
        <v>#N/A</v>
      </c>
      <c r="F175" s="5" t="str">
        <f t="shared" si="3"/>
        <v/>
      </c>
      <c r="H175" s="5" t="str">
        <f t="shared" si="1"/>
        <v/>
      </c>
      <c r="J175" s="5" t="str">
        <f t="shared" si="2"/>
        <v/>
      </c>
    </row>
    <row r="176">
      <c r="E176" s="5" t="str">
        <f>VLOOKUP(D176, BookDatabase!$A$2:$B$1000, 2, FALSE)</f>
        <v>#N/A</v>
      </c>
      <c r="F176" s="5" t="str">
        <f t="shared" si="3"/>
        <v/>
      </c>
      <c r="H176" s="5" t="str">
        <f t="shared" si="1"/>
        <v/>
      </c>
      <c r="J176" s="5" t="str">
        <f t="shared" si="2"/>
        <v/>
      </c>
    </row>
    <row r="177">
      <c r="E177" s="5" t="str">
        <f>VLOOKUP(D177, BookDatabase!$A$2:$B$1000, 2, FALSE)</f>
        <v>#N/A</v>
      </c>
      <c r="F177" s="5" t="str">
        <f t="shared" si="3"/>
        <v/>
      </c>
      <c r="H177" s="5" t="str">
        <f t="shared" si="1"/>
        <v/>
      </c>
      <c r="J177" s="5" t="str">
        <f t="shared" si="2"/>
        <v/>
      </c>
    </row>
    <row r="178">
      <c r="E178" s="5" t="str">
        <f>VLOOKUP(D178, BookDatabase!$A$2:$B$1000, 2, FALSE)</f>
        <v>#N/A</v>
      </c>
      <c r="F178" s="5" t="str">
        <f t="shared" si="3"/>
        <v/>
      </c>
      <c r="H178" s="5" t="str">
        <f t="shared" si="1"/>
        <v/>
      </c>
      <c r="J178" s="5" t="str">
        <f t="shared" si="2"/>
        <v/>
      </c>
    </row>
    <row r="179">
      <c r="E179" s="5" t="str">
        <f>VLOOKUP(D179, BookDatabase!$A$2:$B$1000, 2, FALSE)</f>
        <v>#N/A</v>
      </c>
      <c r="F179" s="5" t="str">
        <f t="shared" si="3"/>
        <v/>
      </c>
      <c r="H179" s="5" t="str">
        <f t="shared" si="1"/>
        <v/>
      </c>
      <c r="J179" s="5" t="str">
        <f t="shared" si="2"/>
        <v/>
      </c>
    </row>
    <row r="180">
      <c r="E180" s="5" t="str">
        <f>VLOOKUP(D180, BookDatabase!$A$2:$B$1000, 2, FALSE)</f>
        <v>#N/A</v>
      </c>
      <c r="F180" s="5" t="str">
        <f t="shared" si="3"/>
        <v/>
      </c>
      <c r="H180" s="5" t="str">
        <f t="shared" si="1"/>
        <v/>
      </c>
      <c r="J180" s="5" t="str">
        <f t="shared" si="2"/>
        <v/>
      </c>
    </row>
    <row r="181">
      <c r="E181" s="5" t="str">
        <f>VLOOKUP(D181, BookDatabase!$A$2:$B$1000, 2, FALSE)</f>
        <v>#N/A</v>
      </c>
      <c r="F181" s="5" t="str">
        <f t="shared" si="3"/>
        <v/>
      </c>
      <c r="H181" s="5" t="str">
        <f t="shared" si="1"/>
        <v/>
      </c>
      <c r="J181" s="5" t="str">
        <f t="shared" si="2"/>
        <v/>
      </c>
    </row>
    <row r="182">
      <c r="E182" s="5" t="str">
        <f>VLOOKUP(D182, BookDatabase!$A$2:$B$1000, 2, FALSE)</f>
        <v>#N/A</v>
      </c>
      <c r="F182" s="5" t="str">
        <f t="shared" si="3"/>
        <v/>
      </c>
      <c r="H182" s="5" t="str">
        <f t="shared" si="1"/>
        <v/>
      </c>
      <c r="J182" s="5" t="str">
        <f t="shared" si="2"/>
        <v/>
      </c>
    </row>
    <row r="183">
      <c r="E183" s="5" t="str">
        <f>VLOOKUP(D183, BookDatabase!$A$2:$B$1000, 2, FALSE)</f>
        <v>#N/A</v>
      </c>
      <c r="F183" s="5" t="str">
        <f t="shared" si="3"/>
        <v/>
      </c>
      <c r="H183" s="5" t="str">
        <f t="shared" si="1"/>
        <v/>
      </c>
      <c r="J183" s="5" t="str">
        <f t="shared" si="2"/>
        <v/>
      </c>
    </row>
    <row r="184">
      <c r="E184" s="5" t="str">
        <f>VLOOKUP(D184, BookDatabase!$A$2:$B$1000, 2, FALSE)</f>
        <v>#N/A</v>
      </c>
      <c r="F184" s="5" t="str">
        <f t="shared" si="3"/>
        <v/>
      </c>
      <c r="H184" s="5" t="str">
        <f t="shared" si="1"/>
        <v/>
      </c>
      <c r="J184" s="5" t="str">
        <f t="shared" si="2"/>
        <v/>
      </c>
    </row>
    <row r="185">
      <c r="E185" s="5" t="str">
        <f>VLOOKUP(D185, BookDatabase!$A$2:$B$1000, 2, FALSE)</f>
        <v>#N/A</v>
      </c>
      <c r="F185" s="5" t="str">
        <f t="shared" si="3"/>
        <v/>
      </c>
      <c r="H185" s="5" t="str">
        <f t="shared" si="1"/>
        <v/>
      </c>
      <c r="J185" s="5" t="str">
        <f t="shared" si="2"/>
        <v/>
      </c>
    </row>
    <row r="186">
      <c r="E186" s="5" t="str">
        <f>VLOOKUP(D186, BookDatabase!$A$2:$B$1000, 2, FALSE)</f>
        <v>#N/A</v>
      </c>
      <c r="F186" s="5" t="str">
        <f t="shared" si="3"/>
        <v/>
      </c>
      <c r="H186" s="5" t="str">
        <f t="shared" si="1"/>
        <v/>
      </c>
      <c r="J186" s="5" t="str">
        <f t="shared" si="2"/>
        <v/>
      </c>
    </row>
    <row r="187">
      <c r="E187" s="5" t="str">
        <f>VLOOKUP(D187, BookDatabase!$A$2:$B$1000, 2, FALSE)</f>
        <v>#N/A</v>
      </c>
      <c r="F187" s="5" t="str">
        <f t="shared" si="3"/>
        <v/>
      </c>
      <c r="H187" s="5" t="str">
        <f t="shared" si="1"/>
        <v/>
      </c>
      <c r="J187" s="5" t="str">
        <f t="shared" si="2"/>
        <v/>
      </c>
    </row>
    <row r="188">
      <c r="E188" s="5" t="str">
        <f>VLOOKUP(D188, BookDatabase!$A$2:$B$1000, 2, FALSE)</f>
        <v>#N/A</v>
      </c>
      <c r="F188" s="5" t="str">
        <f t="shared" si="3"/>
        <v/>
      </c>
      <c r="H188" s="5" t="str">
        <f t="shared" si="1"/>
        <v/>
      </c>
      <c r="J188" s="5" t="str">
        <f t="shared" si="2"/>
        <v/>
      </c>
    </row>
    <row r="189">
      <c r="E189" s="5" t="str">
        <f>VLOOKUP(D189, BookDatabase!$A$2:$B$1000, 2, FALSE)</f>
        <v>#N/A</v>
      </c>
      <c r="F189" s="5" t="str">
        <f t="shared" si="3"/>
        <v/>
      </c>
      <c r="H189" s="5" t="str">
        <f t="shared" si="1"/>
        <v/>
      </c>
      <c r="J189" s="5" t="str">
        <f t="shared" si="2"/>
        <v/>
      </c>
    </row>
    <row r="190">
      <c r="E190" s="5" t="str">
        <f>VLOOKUP(D190, BookDatabase!$A$2:$B$1000, 2, FALSE)</f>
        <v>#N/A</v>
      </c>
      <c r="F190" s="5" t="str">
        <f t="shared" si="3"/>
        <v/>
      </c>
      <c r="H190" s="5" t="str">
        <f t="shared" si="1"/>
        <v/>
      </c>
      <c r="J190" s="5" t="str">
        <f t="shared" si="2"/>
        <v/>
      </c>
    </row>
    <row r="191">
      <c r="E191" s="5" t="str">
        <f>VLOOKUP(D191, BookDatabase!$A$2:$B$1000, 2, FALSE)</f>
        <v>#N/A</v>
      </c>
      <c r="F191" s="5" t="str">
        <f t="shared" si="3"/>
        <v/>
      </c>
      <c r="H191" s="5" t="str">
        <f t="shared" si="1"/>
        <v/>
      </c>
      <c r="J191" s="5" t="str">
        <f t="shared" si="2"/>
        <v/>
      </c>
    </row>
    <row r="192">
      <c r="E192" s="5" t="str">
        <f>VLOOKUP(D192, BookDatabase!$A$2:$B$1000, 2, FALSE)</f>
        <v>#N/A</v>
      </c>
      <c r="F192" s="5" t="str">
        <f t="shared" si="3"/>
        <v/>
      </c>
      <c r="H192" s="5" t="str">
        <f t="shared" si="1"/>
        <v/>
      </c>
      <c r="J192" s="5" t="str">
        <f t="shared" si="2"/>
        <v/>
      </c>
    </row>
    <row r="193">
      <c r="E193" s="5" t="str">
        <f>VLOOKUP(D193, BookDatabase!$A$2:$B$1000, 2, FALSE)</f>
        <v>#N/A</v>
      </c>
      <c r="F193" s="5" t="str">
        <f t="shared" si="3"/>
        <v/>
      </c>
      <c r="H193" s="5" t="str">
        <f t="shared" si="1"/>
        <v/>
      </c>
      <c r="J193" s="5" t="str">
        <f t="shared" si="2"/>
        <v/>
      </c>
    </row>
    <row r="194">
      <c r="E194" s="5" t="str">
        <f>VLOOKUP(D194, BookDatabase!$A$2:$B$1000, 2, FALSE)</f>
        <v>#N/A</v>
      </c>
      <c r="F194" s="5" t="str">
        <f t="shared" si="3"/>
        <v/>
      </c>
      <c r="H194" s="5" t="str">
        <f t="shared" si="1"/>
        <v/>
      </c>
      <c r="J194" s="5" t="str">
        <f t="shared" si="2"/>
        <v/>
      </c>
    </row>
    <row r="195">
      <c r="E195" s="5" t="str">
        <f>VLOOKUP(D195, BookDatabase!$A$2:$B$1000, 2, FALSE)</f>
        <v>#N/A</v>
      </c>
      <c r="F195" s="5" t="str">
        <f t="shared" si="3"/>
        <v/>
      </c>
      <c r="H195" s="5" t="str">
        <f t="shared" si="1"/>
        <v/>
      </c>
      <c r="J195" s="5" t="str">
        <f t="shared" si="2"/>
        <v/>
      </c>
    </row>
    <row r="196">
      <c r="E196" s="5" t="str">
        <f>VLOOKUP(D196, BookDatabase!$A$2:$B$1000, 2, FALSE)</f>
        <v>#N/A</v>
      </c>
      <c r="F196" s="5" t="str">
        <f t="shared" si="3"/>
        <v/>
      </c>
      <c r="H196" s="5" t="str">
        <f t="shared" si="1"/>
        <v/>
      </c>
      <c r="J196" s="5" t="str">
        <f t="shared" si="2"/>
        <v/>
      </c>
    </row>
    <row r="197">
      <c r="E197" s="5" t="str">
        <f>VLOOKUP(D197, BookDatabase!$A$2:$B$1000, 2, FALSE)</f>
        <v>#N/A</v>
      </c>
      <c r="F197" s="5" t="str">
        <f t="shared" si="3"/>
        <v/>
      </c>
      <c r="H197" s="5" t="str">
        <f t="shared" si="1"/>
        <v/>
      </c>
      <c r="J197" s="5" t="str">
        <f t="shared" si="2"/>
        <v/>
      </c>
    </row>
    <row r="198">
      <c r="E198" s="5" t="str">
        <f>VLOOKUP(D198, BookDatabase!$A$2:$B$1000, 2, FALSE)</f>
        <v>#N/A</v>
      </c>
      <c r="F198" s="5" t="str">
        <f t="shared" si="3"/>
        <v/>
      </c>
      <c r="H198" s="5" t="str">
        <f t="shared" si="1"/>
        <v/>
      </c>
      <c r="J198" s="5" t="str">
        <f t="shared" si="2"/>
        <v/>
      </c>
    </row>
    <row r="199">
      <c r="E199" s="5" t="str">
        <f>VLOOKUP(D199, BookDatabase!$A$2:$B$1000, 2, FALSE)</f>
        <v>#N/A</v>
      </c>
      <c r="F199" s="5" t="str">
        <f t="shared" si="3"/>
        <v/>
      </c>
      <c r="H199" s="5" t="str">
        <f t="shared" si="1"/>
        <v/>
      </c>
      <c r="J199" s="5" t="str">
        <f t="shared" si="2"/>
        <v/>
      </c>
    </row>
    <row r="200">
      <c r="E200" s="5" t="str">
        <f>VLOOKUP(D200, BookDatabase!$A$2:$B$1000, 2, FALSE)</f>
        <v>#N/A</v>
      </c>
      <c r="F200" s="5" t="str">
        <f t="shared" si="3"/>
        <v/>
      </c>
      <c r="H200" s="5" t="str">
        <f t="shared" si="1"/>
        <v/>
      </c>
      <c r="J200" s="5" t="str">
        <f t="shared" si="2"/>
        <v/>
      </c>
    </row>
    <row r="201">
      <c r="E201" s="5" t="str">
        <f>VLOOKUP(D201, BookDatabase!$A$2:$B$1000, 2, FALSE)</f>
        <v>#N/A</v>
      </c>
      <c r="F201" s="5" t="str">
        <f t="shared" si="3"/>
        <v/>
      </c>
      <c r="H201" s="5" t="str">
        <f t="shared" si="1"/>
        <v/>
      </c>
      <c r="J201" s="5" t="str">
        <f t="shared" si="2"/>
        <v/>
      </c>
    </row>
    <row r="202">
      <c r="E202" s="5" t="str">
        <f>VLOOKUP(D202, BookDatabase!$A$2:$B$1000, 2, FALSE)</f>
        <v>#N/A</v>
      </c>
      <c r="F202" s="5" t="str">
        <f t="shared" si="3"/>
        <v/>
      </c>
      <c r="H202" s="5" t="str">
        <f t="shared" si="1"/>
        <v/>
      </c>
      <c r="J202" s="5" t="str">
        <f t="shared" si="2"/>
        <v/>
      </c>
    </row>
    <row r="203">
      <c r="E203" s="5" t="str">
        <f>VLOOKUP(D203, BookDatabase!$A$2:$B$1000, 2, FALSE)</f>
        <v>#N/A</v>
      </c>
      <c r="F203" s="5" t="str">
        <f t="shared" si="3"/>
        <v/>
      </c>
      <c r="H203" s="5" t="str">
        <f t="shared" si="1"/>
        <v/>
      </c>
      <c r="J203" s="5" t="str">
        <f t="shared" si="2"/>
        <v/>
      </c>
    </row>
    <row r="204">
      <c r="E204" s="5" t="str">
        <f>VLOOKUP(D204, BookDatabase!$A$2:$B$1000, 2, FALSE)</f>
        <v>#N/A</v>
      </c>
      <c r="F204" s="5" t="str">
        <f t="shared" si="3"/>
        <v/>
      </c>
      <c r="H204" s="5" t="str">
        <f t="shared" si="1"/>
        <v/>
      </c>
      <c r="J204" s="5" t="str">
        <f t="shared" si="2"/>
        <v/>
      </c>
    </row>
    <row r="205">
      <c r="E205" s="5" t="str">
        <f>VLOOKUP(D205, BookDatabase!$A$2:$B$1000, 2, FALSE)</f>
        <v>#N/A</v>
      </c>
      <c r="F205" s="5" t="str">
        <f t="shared" si="3"/>
        <v/>
      </c>
      <c r="H205" s="5" t="str">
        <f t="shared" si="1"/>
        <v/>
      </c>
      <c r="J205" s="5" t="str">
        <f t="shared" si="2"/>
        <v/>
      </c>
    </row>
    <row r="206">
      <c r="E206" s="5" t="str">
        <f>VLOOKUP(D206, BookDatabase!$A$2:$B$1000, 2, FALSE)</f>
        <v>#N/A</v>
      </c>
      <c r="F206" s="5" t="str">
        <f t="shared" si="3"/>
        <v/>
      </c>
      <c r="H206" s="5" t="str">
        <f t="shared" si="1"/>
        <v/>
      </c>
      <c r="J206" s="5" t="str">
        <f t="shared" si="2"/>
        <v/>
      </c>
    </row>
    <row r="207">
      <c r="E207" s="5" t="str">
        <f>VLOOKUP(D207, BookDatabase!$A$2:$B$1000, 2, FALSE)</f>
        <v>#N/A</v>
      </c>
      <c r="F207" s="5" t="str">
        <f t="shared" si="3"/>
        <v/>
      </c>
      <c r="H207" s="5" t="str">
        <f t="shared" si="1"/>
        <v/>
      </c>
      <c r="J207" s="5" t="str">
        <f t="shared" si="2"/>
        <v/>
      </c>
    </row>
    <row r="208">
      <c r="E208" s="5" t="str">
        <f>VLOOKUP(D208, BookDatabase!$A$2:$B$1000, 2, FALSE)</f>
        <v>#N/A</v>
      </c>
      <c r="F208" s="5" t="str">
        <f t="shared" si="3"/>
        <v/>
      </c>
      <c r="H208" s="5" t="str">
        <f t="shared" si="1"/>
        <v/>
      </c>
      <c r="J208" s="5" t="str">
        <f t="shared" si="2"/>
        <v/>
      </c>
    </row>
    <row r="209">
      <c r="E209" s="5" t="str">
        <f>VLOOKUP(D209, BookDatabase!$A$2:$B$1000, 2, FALSE)</f>
        <v>#N/A</v>
      </c>
      <c r="F209" s="5" t="str">
        <f t="shared" si="3"/>
        <v/>
      </c>
      <c r="H209" s="5" t="str">
        <f t="shared" si="1"/>
        <v/>
      </c>
      <c r="J209" s="5" t="str">
        <f t="shared" si="2"/>
        <v/>
      </c>
    </row>
    <row r="210">
      <c r="E210" s="5" t="str">
        <f>VLOOKUP(D210, BookDatabase!$A$2:$B$1000, 2, FALSE)</f>
        <v>#N/A</v>
      </c>
      <c r="F210" s="5" t="str">
        <f t="shared" si="3"/>
        <v/>
      </c>
      <c r="H210" s="5" t="str">
        <f t="shared" si="1"/>
        <v/>
      </c>
      <c r="J210" s="5" t="str">
        <f t="shared" si="2"/>
        <v/>
      </c>
    </row>
    <row r="211">
      <c r="E211" s="5" t="str">
        <f>VLOOKUP(D211, BookDatabase!$A$2:$B$1000, 2, FALSE)</f>
        <v>#N/A</v>
      </c>
      <c r="F211" s="5" t="str">
        <f t="shared" si="3"/>
        <v/>
      </c>
      <c r="H211" s="5" t="str">
        <f t="shared" si="1"/>
        <v/>
      </c>
      <c r="J211" s="5" t="str">
        <f t="shared" si="2"/>
        <v/>
      </c>
    </row>
    <row r="212">
      <c r="E212" s="5" t="str">
        <f>VLOOKUP(D212, BookDatabase!$A$2:$B$1000, 2, FALSE)</f>
        <v>#N/A</v>
      </c>
      <c r="F212" s="5" t="str">
        <f t="shared" si="3"/>
        <v/>
      </c>
      <c r="H212" s="5" t="str">
        <f t="shared" si="1"/>
        <v/>
      </c>
      <c r="J212" s="5" t="str">
        <f t="shared" si="2"/>
        <v/>
      </c>
    </row>
    <row r="213">
      <c r="E213" s="5" t="str">
        <f>VLOOKUP(D213, BookDatabase!$A$2:$B$1000, 2, FALSE)</f>
        <v>#N/A</v>
      </c>
      <c r="F213" s="5" t="str">
        <f t="shared" si="3"/>
        <v/>
      </c>
      <c r="H213" s="5" t="str">
        <f t="shared" si="1"/>
        <v/>
      </c>
      <c r="J213" s="5" t="str">
        <f t="shared" si="2"/>
        <v/>
      </c>
    </row>
    <row r="214">
      <c r="E214" s="5" t="str">
        <f>VLOOKUP(D214, BookDatabase!$A$2:$B$1000, 2, FALSE)</f>
        <v>#N/A</v>
      </c>
      <c r="F214" s="5" t="str">
        <f t="shared" si="3"/>
        <v/>
      </c>
      <c r="H214" s="5" t="str">
        <f t="shared" si="1"/>
        <v/>
      </c>
      <c r="J214" s="5" t="str">
        <f t="shared" si="2"/>
        <v/>
      </c>
    </row>
    <row r="215">
      <c r="E215" s="5" t="str">
        <f>VLOOKUP(D215, BookDatabase!$A$2:$B$1000, 2, FALSE)</f>
        <v>#N/A</v>
      </c>
      <c r="F215" s="5" t="str">
        <f t="shared" si="3"/>
        <v/>
      </c>
      <c r="H215" s="5" t="str">
        <f t="shared" si="1"/>
        <v/>
      </c>
      <c r="J215" s="5" t="str">
        <f t="shared" si="2"/>
        <v/>
      </c>
    </row>
    <row r="216">
      <c r="E216" s="5" t="str">
        <f>VLOOKUP(D216, BookDatabase!$A$2:$B$1000, 2, FALSE)</f>
        <v>#N/A</v>
      </c>
      <c r="F216" s="5" t="str">
        <f t="shared" si="3"/>
        <v/>
      </c>
      <c r="H216" s="5" t="str">
        <f t="shared" si="1"/>
        <v/>
      </c>
      <c r="J216" s="5" t="str">
        <f t="shared" si="2"/>
        <v/>
      </c>
    </row>
    <row r="217">
      <c r="E217" s="5" t="str">
        <f>VLOOKUP(D217, BookDatabase!$A$2:$B$1000, 2, FALSE)</f>
        <v>#N/A</v>
      </c>
      <c r="F217" s="5" t="str">
        <f t="shared" si="3"/>
        <v/>
      </c>
      <c r="H217" s="5" t="str">
        <f t="shared" si="1"/>
        <v/>
      </c>
      <c r="J217" s="5" t="str">
        <f t="shared" si="2"/>
        <v/>
      </c>
    </row>
    <row r="218">
      <c r="E218" s="5" t="str">
        <f>VLOOKUP(D218, BookDatabase!$A$2:$B$1000, 2, FALSE)</f>
        <v>#N/A</v>
      </c>
      <c r="F218" s="5" t="str">
        <f t="shared" si="3"/>
        <v/>
      </c>
      <c r="H218" s="5" t="str">
        <f t="shared" si="1"/>
        <v/>
      </c>
      <c r="J218" s="5" t="str">
        <f t="shared" si="2"/>
        <v/>
      </c>
    </row>
    <row r="219">
      <c r="E219" s="5" t="str">
        <f>VLOOKUP(D219, BookDatabase!$A$2:$B$1000, 2, FALSE)</f>
        <v>#N/A</v>
      </c>
      <c r="F219" s="5" t="str">
        <f t="shared" si="3"/>
        <v/>
      </c>
      <c r="H219" s="5" t="str">
        <f t="shared" si="1"/>
        <v/>
      </c>
      <c r="J219" s="5" t="str">
        <f t="shared" si="2"/>
        <v/>
      </c>
    </row>
    <row r="220">
      <c r="E220" s="5" t="str">
        <f>VLOOKUP(D220, BookDatabase!$A$2:$B$1000, 2, FALSE)</f>
        <v>#N/A</v>
      </c>
      <c r="F220" s="5" t="str">
        <f t="shared" si="3"/>
        <v/>
      </c>
      <c r="H220" s="5" t="str">
        <f t="shared" si="1"/>
        <v/>
      </c>
      <c r="J220" s="5" t="str">
        <f t="shared" si="2"/>
        <v/>
      </c>
    </row>
    <row r="221">
      <c r="E221" s="5" t="str">
        <f>VLOOKUP(D221, BookDatabase!$A$2:$B$1000, 2, FALSE)</f>
        <v>#N/A</v>
      </c>
      <c r="F221" s="5" t="str">
        <f t="shared" si="3"/>
        <v/>
      </c>
      <c r="H221" s="5" t="str">
        <f t="shared" si="1"/>
        <v/>
      </c>
      <c r="J221" s="5" t="str">
        <f t="shared" si="2"/>
        <v/>
      </c>
    </row>
    <row r="222">
      <c r="E222" s="5" t="str">
        <f>VLOOKUP(D222, BookDatabase!$A$2:$B$1000, 2, FALSE)</f>
        <v>#N/A</v>
      </c>
      <c r="F222" s="5" t="str">
        <f t="shared" si="3"/>
        <v/>
      </c>
      <c r="H222" s="5" t="str">
        <f t="shared" si="1"/>
        <v/>
      </c>
      <c r="J222" s="5" t="str">
        <f t="shared" si="2"/>
        <v/>
      </c>
    </row>
    <row r="223">
      <c r="E223" s="5" t="str">
        <f>VLOOKUP(D223, BookDatabase!$A$2:$B$1000, 2, FALSE)</f>
        <v>#N/A</v>
      </c>
      <c r="F223" s="5" t="str">
        <f t="shared" si="3"/>
        <v/>
      </c>
      <c r="H223" s="5" t="str">
        <f t="shared" si="1"/>
        <v/>
      </c>
      <c r="J223" s="5" t="str">
        <f t="shared" si="2"/>
        <v/>
      </c>
    </row>
    <row r="224">
      <c r="E224" s="5" t="str">
        <f>VLOOKUP(D224, BookDatabase!$A$2:$B$1000, 2, FALSE)</f>
        <v>#N/A</v>
      </c>
      <c r="F224" s="5" t="str">
        <f t="shared" si="3"/>
        <v/>
      </c>
      <c r="H224" s="5" t="str">
        <f t="shared" si="1"/>
        <v/>
      </c>
      <c r="J224" s="5" t="str">
        <f t="shared" si="2"/>
        <v/>
      </c>
    </row>
    <row r="225">
      <c r="E225" s="5" t="str">
        <f>VLOOKUP(D225, BookDatabase!$A$2:$B$1000, 2, FALSE)</f>
        <v>#N/A</v>
      </c>
      <c r="F225" s="5" t="str">
        <f t="shared" si="3"/>
        <v/>
      </c>
      <c r="H225" s="5" t="str">
        <f t="shared" si="1"/>
        <v/>
      </c>
      <c r="J225" s="5" t="str">
        <f t="shared" si="2"/>
        <v/>
      </c>
    </row>
    <row r="226">
      <c r="E226" s="5" t="str">
        <f>VLOOKUP(D226, BookDatabase!$A$2:$B$1000, 2, FALSE)</f>
        <v>#N/A</v>
      </c>
      <c r="F226" s="5" t="str">
        <f t="shared" si="3"/>
        <v/>
      </c>
      <c r="H226" s="5" t="str">
        <f t="shared" si="1"/>
        <v/>
      </c>
      <c r="J226" s="5" t="str">
        <f t="shared" si="2"/>
        <v/>
      </c>
    </row>
    <row r="227">
      <c r="E227" s="5" t="str">
        <f>VLOOKUP(D227, BookDatabase!$A$2:$B$1000, 2, FALSE)</f>
        <v>#N/A</v>
      </c>
      <c r="F227" s="5" t="str">
        <f t="shared" si="3"/>
        <v/>
      </c>
      <c r="H227" s="5" t="str">
        <f t="shared" si="1"/>
        <v/>
      </c>
      <c r="J227" s="5" t="str">
        <f t="shared" si="2"/>
        <v/>
      </c>
    </row>
    <row r="228">
      <c r="E228" s="5" t="str">
        <f>VLOOKUP(D228, BookDatabase!$A$2:$B$1000, 2, FALSE)</f>
        <v>#N/A</v>
      </c>
      <c r="F228" s="5" t="str">
        <f t="shared" si="3"/>
        <v/>
      </c>
      <c r="H228" s="5" t="str">
        <f t="shared" si="1"/>
        <v/>
      </c>
      <c r="J228" s="5" t="str">
        <f t="shared" si="2"/>
        <v/>
      </c>
    </row>
    <row r="229">
      <c r="E229" s="5" t="str">
        <f>VLOOKUP(D229, BookDatabase!$A$2:$B$1000, 2, FALSE)</f>
        <v>#N/A</v>
      </c>
      <c r="F229" s="5" t="str">
        <f t="shared" si="3"/>
        <v/>
      </c>
      <c r="H229" s="5" t="str">
        <f t="shared" si="1"/>
        <v/>
      </c>
      <c r="J229" s="5" t="str">
        <f t="shared" si="2"/>
        <v/>
      </c>
    </row>
    <row r="230">
      <c r="E230" s="5" t="str">
        <f>VLOOKUP(D230, BookDatabase!$A$2:$B$1000, 2, FALSE)</f>
        <v>#N/A</v>
      </c>
      <c r="F230" s="5" t="str">
        <f t="shared" si="3"/>
        <v/>
      </c>
      <c r="H230" s="5" t="str">
        <f t="shared" si="1"/>
        <v/>
      </c>
      <c r="J230" s="5" t="str">
        <f t="shared" si="2"/>
        <v/>
      </c>
    </row>
    <row r="231">
      <c r="E231" s="5" t="str">
        <f>VLOOKUP(D231, BookDatabase!$A$2:$B$1000, 2, FALSE)</f>
        <v>#N/A</v>
      </c>
      <c r="F231" s="5" t="str">
        <f t="shared" si="3"/>
        <v/>
      </c>
      <c r="H231" s="5" t="str">
        <f t="shared" si="1"/>
        <v/>
      </c>
      <c r="J231" s="5" t="str">
        <f t="shared" si="2"/>
        <v/>
      </c>
    </row>
    <row r="232">
      <c r="E232" s="5" t="str">
        <f>VLOOKUP(D232, BookDatabase!$A$2:$B$1000, 2, FALSE)</f>
        <v>#N/A</v>
      </c>
      <c r="F232" s="5" t="str">
        <f t="shared" si="3"/>
        <v/>
      </c>
      <c r="H232" s="5" t="str">
        <f t="shared" si="1"/>
        <v/>
      </c>
      <c r="J232" s="5" t="str">
        <f t="shared" si="2"/>
        <v/>
      </c>
    </row>
    <row r="233">
      <c r="E233" s="5" t="str">
        <f>VLOOKUP(D233, BookDatabase!$A$2:$B$1000, 2, FALSE)</f>
        <v>#N/A</v>
      </c>
      <c r="F233" s="5" t="str">
        <f t="shared" si="3"/>
        <v/>
      </c>
      <c r="H233" s="5" t="str">
        <f t="shared" si="1"/>
        <v/>
      </c>
      <c r="J233" s="5" t="str">
        <f t="shared" si="2"/>
        <v/>
      </c>
    </row>
    <row r="234">
      <c r="E234" s="5" t="str">
        <f>VLOOKUP(D234, BookDatabase!$A$2:$B$1000, 2, FALSE)</f>
        <v>#N/A</v>
      </c>
      <c r="F234" s="5" t="str">
        <f t="shared" si="3"/>
        <v/>
      </c>
      <c r="H234" s="5" t="str">
        <f t="shared" si="1"/>
        <v/>
      </c>
      <c r="J234" s="5" t="str">
        <f t="shared" si="2"/>
        <v/>
      </c>
    </row>
    <row r="235">
      <c r="E235" s="5" t="str">
        <f>VLOOKUP(D235, BookDatabase!$A$2:$B$1000, 2, FALSE)</f>
        <v>#N/A</v>
      </c>
      <c r="F235" s="5" t="str">
        <f t="shared" si="3"/>
        <v/>
      </c>
      <c r="H235" s="5" t="str">
        <f t="shared" si="1"/>
        <v/>
      </c>
      <c r="J235" s="5" t="str">
        <f t="shared" si="2"/>
        <v/>
      </c>
    </row>
  </sheetData>
  <dataValidations>
    <dataValidation type="list" allowBlank="1" showErrorMessage="1" sqref="F2:F235">
      <formula1>"Processed and Borrowed,On Hold, Waiting for Book Availability,Returned On Time,Returned Late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3.38"/>
    <col customWidth="1" min="3" max="3" width="22.0"/>
    <col customWidth="1" min="4" max="4" width="20.63"/>
    <col customWidth="1" min="7" max="7" width="16.13"/>
    <col customWidth="1" min="10" max="10" width="8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9.780141184944E12</v>
      </c>
      <c r="B2" s="2" t="s">
        <v>7</v>
      </c>
      <c r="C2" s="2" t="s">
        <v>8</v>
      </c>
      <c r="D2" s="4">
        <v>4.0</v>
      </c>
      <c r="E2" s="7">
        <f>IF(
  COUNTIFS(active!D:D, A2, active!F:F, "Processed and Borrowed") &gt; D2,
  "Error",
  COUNTIFS(active!D:D, A2, active!F:F, "Processed and Borrowed")
)
</f>
        <v>1</v>
      </c>
      <c r="F2" s="7" t="str">
        <f t="shared" ref="F2:F355" si="1">IF(E2 &lt; D2, "Available", "Not Available")
</f>
        <v>Available</v>
      </c>
      <c r="G2" s="9">
        <f>IFERROR(__xludf.DUMMYFUNCTION("IF(E2&gt;0, MIN(FILTER(active!H:H, (active!D:D = A2) * (active!F:F = ""Processed and Borrowed""))), """")"),0.0)</f>
        <v>0</v>
      </c>
      <c r="H2" s="7"/>
      <c r="I2" s="7"/>
      <c r="J2" s="7"/>
    </row>
    <row r="3">
      <c r="A3" s="3">
        <v>9.780393609394E12</v>
      </c>
      <c r="B3" s="2" t="s">
        <v>9</v>
      </c>
      <c r="C3" s="2" t="s">
        <v>10</v>
      </c>
      <c r="D3" s="4">
        <v>3.0</v>
      </c>
      <c r="E3" s="7">
        <f>IF(
  COUNTIFS(active!D:D, A3, active!F:F, "Processed and Borrowed") &gt; D3,
  "Error",
  COUNTIFS(active!D:D, A3, active!F:F, "Processed and Borrowed")
)
</f>
        <v>0</v>
      </c>
      <c r="F3" s="7" t="str">
        <f t="shared" si="1"/>
        <v>Available</v>
      </c>
      <c r="G3" s="9" t="str">
        <f>IFERROR(__xludf.DUMMYFUNCTION("IF(E3&gt;0, MIN(FILTER(active!H:H, (active!D:D = A3) * (active!F:F = ""Processed and Borrowed""))), """")"),"")</f>
        <v/>
      </c>
      <c r="H3" s="7"/>
      <c r="I3" s="7"/>
      <c r="J3" s="7"/>
    </row>
    <row r="4">
      <c r="A4" s="3">
        <v>9.780099590088E12</v>
      </c>
      <c r="B4" s="2" t="s">
        <v>11</v>
      </c>
      <c r="C4" s="2" t="s">
        <v>12</v>
      </c>
      <c r="D4" s="4">
        <v>3.0</v>
      </c>
      <c r="E4" s="7">
        <f>IF(
  COUNTIFS(active!D:D, A4, active!F:F, "Processed and Borrowed") &gt; D4,
  "Error",
  COUNTIFS(active!D:D, A4, active!F:F, "Processed and Borrowed")
)
</f>
        <v>0</v>
      </c>
      <c r="F4" s="7" t="str">
        <f t="shared" si="1"/>
        <v>Available</v>
      </c>
      <c r="G4" s="9" t="str">
        <f>IFERROR(__xludf.DUMMYFUNCTION("IF(E4&gt;0, MIN(FILTER(active!H:H, (active!D:D = A4) * (active!F:F = ""Processed and Borrowed""))), """")"),"")</f>
        <v/>
      </c>
      <c r="H4" s="7"/>
      <c r="I4" s="7"/>
      <c r="J4" s="7"/>
    </row>
    <row r="5">
      <c r="A5" s="3">
        <v>9.780241958223E12</v>
      </c>
      <c r="B5" s="2" t="s">
        <v>13</v>
      </c>
      <c r="C5" s="2" t="s">
        <v>14</v>
      </c>
      <c r="D5" s="4">
        <v>3.0</v>
      </c>
      <c r="E5" s="7">
        <f>IF(
  COUNTIFS(active!D:D, A5, active!F:F, "Processed and Borrowed") &gt; D5,
  "Error",
  COUNTIFS(active!D:D, A5, active!F:F, "Processed and Borrowed")
)
</f>
        <v>0</v>
      </c>
      <c r="F5" s="7" t="str">
        <f t="shared" si="1"/>
        <v>Available</v>
      </c>
      <c r="G5" s="9" t="str">
        <f>IFERROR(__xludf.DUMMYFUNCTION("IF(E5&gt;0, MIN(FILTER(active!H:H, (active!D:D = A5) * (active!F:F = ""Processed and Borrowed""))), """")"),"")</f>
        <v/>
      </c>
      <c r="H5" s="7"/>
      <c r="I5" s="7"/>
      <c r="J5" s="7"/>
    </row>
    <row r="6">
      <c r="A6" s="3">
        <v>9.781509877027E12</v>
      </c>
      <c r="B6" s="2" t="s">
        <v>15</v>
      </c>
      <c r="C6" s="2" t="s">
        <v>16</v>
      </c>
      <c r="D6" s="4">
        <v>3.0</v>
      </c>
      <c r="E6" s="7">
        <f>IF(
  COUNTIFS(active!D:D, A6, active!F:F, "Processed and Borrowed") &gt; D6,
  "Error",
  COUNTIFS(active!D:D, A6, active!F:F, "Processed and Borrowed")
)
</f>
        <v>0</v>
      </c>
      <c r="F6" s="7" t="str">
        <f t="shared" si="1"/>
        <v>Available</v>
      </c>
      <c r="G6" s="9" t="str">
        <f>IFERROR(__xludf.DUMMYFUNCTION("IF(E6&gt;0, MIN(FILTER(active!H:H, (active!D:D = A6) * (active!F:F = ""Processed and Borrowed""))), """")"),"")</f>
        <v/>
      </c>
      <c r="H6" s="7"/>
      <c r="I6" s="7"/>
      <c r="J6" s="7"/>
    </row>
    <row r="7">
      <c r="A7" s="3">
        <v>9.780340733509E12</v>
      </c>
      <c r="B7" s="2" t="s">
        <v>17</v>
      </c>
      <c r="C7" s="2" t="s">
        <v>18</v>
      </c>
      <c r="D7" s="4">
        <v>3.0</v>
      </c>
      <c r="E7" s="7">
        <f>IF(
  COUNTIFS(active!D:D, A7, active!F:F, "Processed and Borrowed") &gt; D7,
  "Error",
  COUNTIFS(active!D:D, A7, active!F:F, "Processed and Borrowed")
)
</f>
        <v>0</v>
      </c>
      <c r="F7" s="7" t="str">
        <f t="shared" si="1"/>
        <v>Available</v>
      </c>
      <c r="G7" s="9" t="str">
        <f>IFERROR(__xludf.DUMMYFUNCTION("IF(E7&gt;0, MIN(FILTER(active!H:H, (active!D:D = A7) * (active!F:F = ""Processed and Borrowed""))), """")"),"")</f>
        <v/>
      </c>
      <c r="H7" s="7"/>
      <c r="I7" s="7"/>
      <c r="J7" s="7"/>
    </row>
    <row r="8">
      <c r="A8" s="3">
        <v>9.780141983769E12</v>
      </c>
      <c r="B8" s="2" t="s">
        <v>19</v>
      </c>
      <c r="C8" s="2" t="s">
        <v>20</v>
      </c>
      <c r="D8" s="4">
        <v>3.0</v>
      </c>
      <c r="E8" s="7">
        <f>IF(
  COUNTIFS(active!D:D, A8, active!F:F, "Processed and Borrowed") &gt; D8,
  "Error",
  COUNTIFS(active!D:D, A8, active!F:F, "Processed and Borrowed")
)
</f>
        <v>0</v>
      </c>
      <c r="F8" s="7" t="str">
        <f t="shared" si="1"/>
        <v>Available</v>
      </c>
      <c r="G8" s="9" t="str">
        <f>IFERROR(__xludf.DUMMYFUNCTION("IF(E8&gt;0, MIN(FILTER(active!H:H, (active!D:D = A8) * (active!F:F = ""Processed and Borrowed""))), """")"),"")</f>
        <v/>
      </c>
      <c r="H8" s="7"/>
      <c r="I8" s="7"/>
      <c r="J8" s="7"/>
    </row>
    <row r="9">
      <c r="A9" s="3">
        <v>9.780349107035E12</v>
      </c>
      <c r="B9" s="2" t="s">
        <v>21</v>
      </c>
      <c r="C9" s="2" t="s">
        <v>22</v>
      </c>
      <c r="D9" s="4">
        <v>3.0</v>
      </c>
      <c r="E9" s="7">
        <f>IF(
  COUNTIFS(active!D:D, A9, active!F:F, "Processed and Borrowed") &gt; D9,
  "Error",
  COUNTIFS(active!D:D, A9, active!F:F, "Processed and Borrowed")
)
</f>
        <v>0</v>
      </c>
      <c r="F9" s="7" t="str">
        <f t="shared" si="1"/>
        <v>Available</v>
      </c>
      <c r="G9" s="9" t="str">
        <f>IFERROR(__xludf.DUMMYFUNCTION("IF(E9&gt;0, MIN(FILTER(active!H:H, (active!D:D = A9) * (active!F:F = ""Processed and Borrowed""))), """")"),"")</f>
        <v/>
      </c>
      <c r="H9" s="7"/>
      <c r="I9" s="7"/>
      <c r="J9" s="7"/>
    </row>
    <row r="10">
      <c r="A10" s="2">
        <v>9.780340960196E12</v>
      </c>
      <c r="B10" s="2" t="s">
        <v>23</v>
      </c>
      <c r="C10" s="2" t="s">
        <v>24</v>
      </c>
      <c r="D10" s="4">
        <v>3.0</v>
      </c>
      <c r="E10" s="7">
        <f>IF(
  COUNTIFS(active!D:D, A10, active!F:F, "Processed and Borrowed") &gt; D10,
  "Error",
  COUNTIFS(active!D:D, A10, active!F:F, "Processed and Borrowed")
)
</f>
        <v>0</v>
      </c>
      <c r="F10" s="7" t="str">
        <f t="shared" si="1"/>
        <v>Available</v>
      </c>
      <c r="G10" s="9" t="str">
        <f>IFERROR(__xludf.DUMMYFUNCTION("IF(E10&gt;0, MIN(FILTER(active!H:H, (active!D:D = A10) * (active!F:F = ""Processed and Borrowed""))), """")"),"")</f>
        <v/>
      </c>
      <c r="H10" s="7"/>
      <c r="I10" s="7"/>
      <c r="J10" s="7"/>
    </row>
    <row r="11">
      <c r="A11" s="2">
        <v>9.780753828434E12</v>
      </c>
      <c r="B11" s="2" t="s">
        <v>25</v>
      </c>
      <c r="C11" s="2" t="s">
        <v>26</v>
      </c>
      <c r="D11" s="4">
        <v>3.0</v>
      </c>
      <c r="E11" s="7">
        <f>IF(
  COUNTIFS(active!D:D, A11, active!F:F, "Processed and Borrowed") &gt; D11,
  "Error",
  COUNTIFS(active!D:D, A11, active!F:F, "Processed and Borrowed")
)
</f>
        <v>0</v>
      </c>
      <c r="F11" s="7" t="str">
        <f t="shared" si="1"/>
        <v>Available</v>
      </c>
      <c r="G11" s="9" t="str">
        <f>IFERROR(__xludf.DUMMYFUNCTION("IF(E11&gt;0, MIN(FILTER(active!H:H, (active!D:D = A11) * (active!F:F = ""Processed and Borrowed""))), """")"),"")</f>
        <v/>
      </c>
      <c r="H11" s="7"/>
      <c r="I11" s="7"/>
      <c r="J11" s="7"/>
    </row>
    <row r="12">
      <c r="A12" s="2">
        <v>9.780857501004E12</v>
      </c>
      <c r="B12" s="2" t="s">
        <v>27</v>
      </c>
      <c r="C12" s="2" t="s">
        <v>28</v>
      </c>
      <c r="D12" s="4">
        <v>3.0</v>
      </c>
      <c r="E12" s="7">
        <f>IF(
  COUNTIFS(active!D:D, A12, active!F:F, "Processed and Borrowed") &gt; D12,
  "Error",
  COUNTIFS(active!D:D, A12, active!F:F, "Processed and Borrowed")
)
</f>
        <v>0</v>
      </c>
      <c r="F12" s="7" t="str">
        <f t="shared" si="1"/>
        <v>Available</v>
      </c>
      <c r="G12" s="9" t="str">
        <f>IFERROR(__xludf.DUMMYFUNCTION("IF(E12&gt;0, MIN(FILTER(active!H:H, (active!D:D = A12) * (active!F:F = ""Processed and Borrowed""))), """")"),"")</f>
        <v/>
      </c>
      <c r="H12" s="7"/>
      <c r="I12" s="7"/>
      <c r="J12" s="7"/>
    </row>
    <row r="13">
      <c r="A13" s="2">
        <v>9.781847941831E12</v>
      </c>
      <c r="B13" s="2" t="s">
        <v>29</v>
      </c>
      <c r="C13" s="2" t="s">
        <v>30</v>
      </c>
      <c r="D13" s="4">
        <v>3.0</v>
      </c>
      <c r="E13" s="7">
        <f>IF(
  COUNTIFS(active!D:D, A13, active!F:F, "Processed and Borrowed") &gt; D13,
  "Error",
  COUNTIFS(active!D:D, A13, active!F:F, "Processed and Borrowed")
)
</f>
        <v>0</v>
      </c>
      <c r="F13" s="7" t="str">
        <f t="shared" si="1"/>
        <v>Available</v>
      </c>
      <c r="G13" s="9" t="str">
        <f>IFERROR(__xludf.DUMMYFUNCTION("IF(E13&gt;0, MIN(FILTER(active!H:H, (active!D:D = A13) * (active!F:F = ""Processed and Borrowed""))), """")"),"")</f>
        <v/>
      </c>
      <c r="H13" s="7"/>
      <c r="I13" s="7"/>
      <c r="J13" s="7"/>
    </row>
    <row r="14">
      <c r="A14" s="2">
        <v>9.780099477464E12</v>
      </c>
      <c r="B14" s="2" t="s">
        <v>31</v>
      </c>
      <c r="C14" s="2" t="s">
        <v>32</v>
      </c>
      <c r="D14" s="4">
        <v>3.0</v>
      </c>
      <c r="E14" s="7">
        <f>IF(
  COUNTIFS(active!D:D, A14, active!F:F, "Processed and Borrowed") &gt; D14,
  "Error",
  COUNTIFS(active!D:D, A14, active!F:F, "Processed and Borrowed")
)
</f>
        <v>0</v>
      </c>
      <c r="F14" s="7" t="str">
        <f t="shared" si="1"/>
        <v>Available</v>
      </c>
      <c r="G14" s="9" t="str">
        <f>IFERROR(__xludf.DUMMYFUNCTION("IF(E14&gt;0, MIN(FILTER(active!H:H, (active!D:D = A14) * (active!F:F = ""Processed and Borrowed""))), """")"),"")</f>
        <v/>
      </c>
      <c r="H14" s="7"/>
      <c r="I14" s="7"/>
      <c r="J14" s="7"/>
    </row>
    <row r="15">
      <c r="A15" s="2">
        <v>9.781844132393E12</v>
      </c>
      <c r="B15" s="2" t="s">
        <v>33</v>
      </c>
      <c r="C15" s="2" t="s">
        <v>34</v>
      </c>
      <c r="D15" s="4">
        <v>3.0</v>
      </c>
      <c r="E15" s="7">
        <f>IF(
  COUNTIFS(active!D:D, A15, active!F:F, "Processed and Borrowed") &gt; D15,
  "Error",
  COUNTIFS(active!D:D, A15, active!F:F, "Processed and Borrowed")
)
</f>
        <v>0</v>
      </c>
      <c r="F15" s="7" t="str">
        <f t="shared" si="1"/>
        <v>Available</v>
      </c>
      <c r="G15" s="9" t="str">
        <f>IFERROR(__xludf.DUMMYFUNCTION("IF(E15&gt;0, MIN(FILTER(active!H:H, (active!D:D = A15) * (active!F:F = ""Processed and Borrowed""))), """")"),"")</f>
        <v/>
      </c>
      <c r="H15" s="7"/>
      <c r="I15" s="7"/>
      <c r="J15" s="7"/>
    </row>
    <row r="16">
      <c r="A16" s="2">
        <v>9.78009928992E12</v>
      </c>
      <c r="B16" s="2" t="s">
        <v>35</v>
      </c>
      <c r="C16" s="2" t="s">
        <v>36</v>
      </c>
      <c r="D16" s="4">
        <v>3.0</v>
      </c>
      <c r="E16" s="7">
        <f>IF(
  COUNTIFS(active!D:D, A16, active!F:F, "Processed and Borrowed") &gt; D16,
  "Error",
  COUNTIFS(active!D:D, A16, active!F:F, "Processed and Borrowed")
)
</f>
        <v>0</v>
      </c>
      <c r="F16" s="7" t="str">
        <f t="shared" si="1"/>
        <v>Available</v>
      </c>
      <c r="G16" s="9" t="str">
        <f>IFERROR(__xludf.DUMMYFUNCTION("IF(E16&gt;0, MIN(FILTER(active!H:H, (active!D:D = A16) * (active!F:F = ""Processed and Borrowed""))), """")"),"")</f>
        <v/>
      </c>
      <c r="H16" s="7"/>
      <c r="I16" s="7"/>
      <c r="J16" s="7"/>
    </row>
    <row r="17">
      <c r="A17" s="2">
        <v>9.780007250929E12</v>
      </c>
      <c r="B17" s="2" t="s">
        <v>38</v>
      </c>
      <c r="C17" s="2" t="s">
        <v>39</v>
      </c>
      <c r="D17" s="4">
        <v>3.0</v>
      </c>
      <c r="E17" s="7">
        <f>IF(
  COUNTIFS(active!D:D, A17, active!F:F, "Processed and Borrowed") &gt; D17,
  "Error",
  COUNTIFS(active!D:D, A17, active!F:F, "Processed and Borrowed")
)
</f>
        <v>0</v>
      </c>
      <c r="F17" s="7" t="str">
        <f t="shared" si="1"/>
        <v>Available</v>
      </c>
      <c r="G17" s="9" t="str">
        <f>IFERROR(__xludf.DUMMYFUNCTION("IF(E17&gt;0, MIN(FILTER(active!H:H, (active!D:D = A17) * (active!F:F = ""Processed and Borrowed""))), """")"),"")</f>
        <v/>
      </c>
      <c r="H17" s="7"/>
      <c r="I17" s="7"/>
      <c r="J17" s="7"/>
    </row>
    <row r="18">
      <c r="A18" s="2">
        <v>9.780099584575E12</v>
      </c>
      <c r="B18" s="2" t="s">
        <v>41</v>
      </c>
      <c r="C18" s="2" t="s">
        <v>39</v>
      </c>
      <c r="D18" s="4">
        <v>3.0</v>
      </c>
      <c r="E18" s="7">
        <f>IF(
  COUNTIFS(active!D:D, A18, active!F:F, "Processed and Borrowed") &gt; D18,
  "Error",
  COUNTIFS(active!D:D, A18, active!F:F, "Processed and Borrowed")
)
</f>
        <v>0</v>
      </c>
      <c r="F18" s="7" t="str">
        <f t="shared" si="1"/>
        <v>Available</v>
      </c>
      <c r="G18" s="9" t="str">
        <f>IFERROR(__xludf.DUMMYFUNCTION("IF(E18&gt;0, MIN(FILTER(active!H:H, (active!D:D = A18) * (active!F:F = ""Processed and Borrowed""))), """")"),"")</f>
        <v/>
      </c>
      <c r="H18" s="7"/>
      <c r="I18" s="7"/>
      <c r="J18" s="7"/>
    </row>
    <row r="19">
      <c r="A19" s="2">
        <v>9.781405931564E12</v>
      </c>
      <c r="B19" s="2" t="s">
        <v>43</v>
      </c>
      <c r="C19" s="2" t="s">
        <v>44</v>
      </c>
      <c r="D19" s="4">
        <v>2.0</v>
      </c>
      <c r="E19" s="7">
        <f>IF(
  COUNTIFS(active!D:D, A19, active!F:F, "Processed and Borrowed") &gt; D19,
  "Error",
  COUNTIFS(active!D:D, A19, active!F:F, "Processed and Borrowed")
)
</f>
        <v>0</v>
      </c>
      <c r="F19" s="7" t="str">
        <f t="shared" si="1"/>
        <v>Available</v>
      </c>
      <c r="G19" s="9" t="str">
        <f>IFERROR(__xludf.DUMMYFUNCTION("IF(E19&gt;0, MIN(FILTER(active!H:H, (active!D:D = A19) * (active!F:F = ""Processed and Borrowed""))), """")"),"")</f>
        <v/>
      </c>
      <c r="H19" s="7"/>
      <c r="I19" s="7"/>
      <c r="J19" s="7"/>
    </row>
    <row r="20">
      <c r="A20" s="2">
        <v>9.781857028355E12</v>
      </c>
      <c r="B20" s="2" t="s">
        <v>46</v>
      </c>
      <c r="C20" s="2" t="s">
        <v>47</v>
      </c>
      <c r="D20" s="4">
        <v>2.0</v>
      </c>
      <c r="E20" s="7">
        <f>IF(
  COUNTIFS(active!D:D, A20, active!F:F, "Processed and Borrowed") &gt; D20,
  "Error",
  COUNTIFS(active!D:D, A20, active!F:F, "Processed and Borrowed")
)
</f>
        <v>0</v>
      </c>
      <c r="F20" s="7" t="str">
        <f t="shared" si="1"/>
        <v>Available</v>
      </c>
      <c r="G20" s="9" t="str">
        <f>IFERROR(__xludf.DUMMYFUNCTION("IF(E20&gt;0, MIN(FILTER(active!H:H, (active!D:D = A20) * (active!F:F = ""Processed and Borrowed""))), """")"),"")</f>
        <v/>
      </c>
      <c r="H20" s="7"/>
      <c r="I20" s="7"/>
      <c r="J20" s="7"/>
    </row>
    <row r="21">
      <c r="A21" s="2">
        <v>9.780345409461E12</v>
      </c>
      <c r="B21" s="2" t="s">
        <v>48</v>
      </c>
      <c r="C21" s="2" t="s">
        <v>22</v>
      </c>
      <c r="D21" s="4">
        <v>2.0</v>
      </c>
      <c r="E21" s="7">
        <f>IF(
  COUNTIFS(active!D:D, A21, active!F:F, "Processed and Borrowed") &gt; D21,
  "Error",
  COUNTIFS(active!D:D, A21, active!F:F, "Processed and Borrowed")
)
</f>
        <v>0</v>
      </c>
      <c r="F21" s="7" t="str">
        <f t="shared" si="1"/>
        <v>Available</v>
      </c>
      <c r="G21" s="9" t="str">
        <f>IFERROR(__xludf.DUMMYFUNCTION("IF(E21&gt;0, MIN(FILTER(active!H:H, (active!D:D = A21) * (active!F:F = ""Processed and Borrowed""))), """")"),"")</f>
        <v/>
      </c>
      <c r="H21" s="7"/>
      <c r="I21" s="7"/>
      <c r="J21" s="7"/>
    </row>
    <row r="22">
      <c r="A22" s="2">
        <v>9.780876120798E12</v>
      </c>
      <c r="B22" s="2" t="s">
        <v>49</v>
      </c>
      <c r="C22" s="2" t="s">
        <v>50</v>
      </c>
      <c r="D22" s="4">
        <v>2.0</v>
      </c>
      <c r="E22" s="7">
        <f>IF(
  COUNTIFS(active!D:D, A22, active!F:F, "Processed and Borrowed") &gt; D22,
  "Error",
  COUNTIFS(active!D:D, A22, active!F:F, "Processed and Borrowed")
)
</f>
        <v>0</v>
      </c>
      <c r="F22" s="7" t="str">
        <f t="shared" si="1"/>
        <v>Available</v>
      </c>
      <c r="G22" s="9" t="str">
        <f>IFERROR(__xludf.DUMMYFUNCTION("IF(E22&gt;0, MIN(FILTER(active!H:H, (active!D:D = A22) * (active!F:F = ""Processed and Borrowed""))), """")"),"")</f>
        <v/>
      </c>
      <c r="H22" s="7"/>
      <c r="I22" s="7"/>
      <c r="J22" s="7"/>
    </row>
    <row r="23">
      <c r="A23" s="2">
        <v>9.78152660475E12</v>
      </c>
      <c r="B23" s="2" t="s">
        <v>51</v>
      </c>
      <c r="C23" s="2" t="s">
        <v>52</v>
      </c>
      <c r="D23" s="4">
        <v>2.0</v>
      </c>
      <c r="E23" s="7">
        <f>IF(
  COUNTIFS(active!D:D, A23, active!F:F, "Processed and Borrowed") &gt; D23,
  "Error",
  COUNTIFS(active!D:D, A23, active!F:F, "Processed and Borrowed")
)
</f>
        <v>0</v>
      </c>
      <c r="F23" s="7" t="str">
        <f t="shared" si="1"/>
        <v>Available</v>
      </c>
      <c r="G23" s="9" t="str">
        <f>IFERROR(__xludf.DUMMYFUNCTION("IF(E23&gt;0, MIN(FILTER(active!H:H, (active!D:D = A23) * (active!F:F = ""Processed and Borrowed""))), """")"),"")</f>
        <v/>
      </c>
      <c r="H23" s="7"/>
      <c r="I23" s="7"/>
      <c r="J23" s="7"/>
    </row>
    <row r="24">
      <c r="A24" s="2">
        <v>9.781800244399E12</v>
      </c>
      <c r="B24" s="2" t="s">
        <v>53</v>
      </c>
      <c r="C24" s="2" t="s">
        <v>54</v>
      </c>
      <c r="D24" s="4">
        <v>2.0</v>
      </c>
      <c r="E24" s="7">
        <f>IF(
  COUNTIFS(active!D:D, A24, active!F:F, "Processed and Borrowed") &gt; D24,
  "Error",
  COUNTIFS(active!D:D, A24, active!F:F, "Processed and Borrowed")
)
</f>
        <v>0</v>
      </c>
      <c r="F24" s="7" t="str">
        <f t="shared" si="1"/>
        <v>Available</v>
      </c>
      <c r="G24" s="9" t="str">
        <f>IFERROR(__xludf.DUMMYFUNCTION("IF(E24&gt;0, MIN(FILTER(active!H:H, (active!D:D = A24) * (active!F:F = ""Processed and Borrowed""))), """")"),"")</f>
        <v/>
      </c>
      <c r="H24" s="7"/>
      <c r="I24" s="7"/>
      <c r="J24" s="7"/>
    </row>
    <row r="25">
      <c r="A25" s="2">
        <v>9.781786891686E12</v>
      </c>
      <c r="B25" s="2" t="s">
        <v>55</v>
      </c>
      <c r="C25" s="2" t="s">
        <v>56</v>
      </c>
      <c r="D25" s="4">
        <v>2.0</v>
      </c>
      <c r="E25" s="7">
        <f>IF(
  COUNTIFS(active!D:D, A25, active!F:F, "Processed and Borrowed") &gt; D25,
  "Error",
  COUNTIFS(active!D:D, A25, active!F:F, "Processed and Borrowed")
)
</f>
        <v>0</v>
      </c>
      <c r="F25" s="7" t="str">
        <f t="shared" si="1"/>
        <v>Available</v>
      </c>
      <c r="G25" s="9" t="str">
        <f>IFERROR(__xludf.DUMMYFUNCTION("IF(E25&gt;0, MIN(FILTER(active!H:H, (active!D:D = A25) * (active!F:F = ""Processed and Borrowed""))), """")"),"")</f>
        <v/>
      </c>
      <c r="H25" s="7"/>
      <c r="I25" s="7"/>
      <c r="J25" s="7"/>
    </row>
    <row r="26">
      <c r="A26" s="2">
        <v>9.781408851241E12</v>
      </c>
      <c r="B26" s="2" t="s">
        <v>57</v>
      </c>
      <c r="C26" s="2" t="s">
        <v>58</v>
      </c>
      <c r="D26" s="4">
        <v>2.0</v>
      </c>
      <c r="E26" s="7">
        <f>IF(
  COUNTIFS(active!D:D, A26, active!F:F, "Processed and Borrowed") &gt; D26,
  "Error",
  COUNTIFS(active!D:D, A26, active!F:F, "Processed and Borrowed")
)
</f>
        <v>0</v>
      </c>
      <c r="F26" s="7" t="str">
        <f t="shared" si="1"/>
        <v>Available</v>
      </c>
      <c r="G26" s="9" t="str">
        <f>IFERROR(__xludf.DUMMYFUNCTION("IF(E26&gt;0, MIN(FILTER(active!H:H, (active!D:D = A26) * (active!F:F = ""Processed and Borrowed""))), """")"),"")</f>
        <v/>
      </c>
      <c r="H26" s="7"/>
      <c r="I26" s="7"/>
      <c r="J26" s="7"/>
    </row>
    <row r="27">
      <c r="A27" s="2">
        <v>9.780141199702E12</v>
      </c>
      <c r="B27" s="2" t="s">
        <v>59</v>
      </c>
      <c r="C27" s="2" t="s">
        <v>60</v>
      </c>
      <c r="D27" s="4">
        <v>2.0</v>
      </c>
      <c r="E27" s="7">
        <f>IF(
  COUNTIFS(active!D:D, A27, active!F:F, "Processed and Borrowed") &gt; D27,
  "Error",
  COUNTIFS(active!D:D, A27, active!F:F, "Processed and Borrowed")
)
</f>
        <v>0</v>
      </c>
      <c r="F27" s="7" t="str">
        <f t="shared" si="1"/>
        <v>Available</v>
      </c>
      <c r="G27" s="9" t="str">
        <f>IFERROR(__xludf.DUMMYFUNCTION("IF(E27&gt;0, MIN(FILTER(active!H:H, (active!D:D = A27) * (active!F:F = ""Processed and Borrowed""))), """")"),"")</f>
        <v/>
      </c>
      <c r="H27" s="7"/>
      <c r="I27" s="7"/>
      <c r="J27" s="7"/>
    </row>
    <row r="28">
      <c r="A28" s="2">
        <v>9.780241982976E12</v>
      </c>
      <c r="B28" s="2" t="s">
        <v>61</v>
      </c>
      <c r="C28" s="2" t="s">
        <v>62</v>
      </c>
      <c r="D28" s="4">
        <v>2.0</v>
      </c>
      <c r="E28" s="7">
        <f>IF(
  COUNTIFS(active!D:D, A28, active!F:F, "Processed and Borrowed") &gt; D28,
  "Error",
  COUNTIFS(active!D:D, A28, active!F:F, "Processed and Borrowed")
)
</f>
        <v>0</v>
      </c>
      <c r="F28" s="7" t="str">
        <f t="shared" si="1"/>
        <v>Available</v>
      </c>
      <c r="G28" s="9" t="str">
        <f>IFERROR(__xludf.DUMMYFUNCTION("IF(E28&gt;0, MIN(FILTER(active!H:H, (active!D:D = A28) * (active!F:F = ""Processed and Borrowed""))), """")"),"")</f>
        <v/>
      </c>
      <c r="H28" s="7"/>
      <c r="I28" s="7"/>
      <c r="J28" s="7"/>
    </row>
    <row r="29">
      <c r="A29" s="2">
        <v>9.780140449136E12</v>
      </c>
      <c r="B29" s="2" t="s">
        <v>63</v>
      </c>
      <c r="C29" s="2" t="s">
        <v>64</v>
      </c>
      <c r="D29" s="4">
        <v>2.0</v>
      </c>
      <c r="E29" s="7">
        <f>IF(
  COUNTIFS(active!D:D, A29, active!F:F, "Processed and Borrowed") &gt; D29,
  "Error",
  COUNTIFS(active!D:D, A29, active!F:F, "Processed and Borrowed")
)
</f>
        <v>0</v>
      </c>
      <c r="F29" s="7" t="str">
        <f t="shared" si="1"/>
        <v>Available</v>
      </c>
      <c r="G29" s="9" t="str">
        <f>IFERROR(__xludf.DUMMYFUNCTION("IF(E29&gt;0, MIN(FILTER(active!H:H, (active!D:D = A29) * (active!F:F = ""Processed and Borrowed""))), """")"),"")</f>
        <v/>
      </c>
      <c r="H29" s="7"/>
      <c r="I29" s="7"/>
      <c r="J29" s="7"/>
    </row>
    <row r="30">
      <c r="A30" s="2">
        <v>9.780670923175E12</v>
      </c>
      <c r="B30" s="2" t="s">
        <v>65</v>
      </c>
      <c r="C30" s="2" t="s">
        <v>14</v>
      </c>
      <c r="D30" s="4">
        <v>2.0</v>
      </c>
      <c r="E30" s="7">
        <f>IF(
  COUNTIFS(active!D:D, A30, active!F:F, "Processed and Borrowed") &gt; D30,
  "Error",
  COUNTIFS(active!D:D, A30, active!F:F, "Processed and Borrowed")
)
</f>
        <v>0</v>
      </c>
      <c r="F30" s="7" t="str">
        <f t="shared" si="1"/>
        <v>Available</v>
      </c>
      <c r="G30" s="9" t="str">
        <f>IFERROR(__xludf.DUMMYFUNCTION("IF(E30&gt;0, MIN(FILTER(active!H:H, (active!D:D = A30) * (active!F:F = ""Processed and Borrowed""))), """")"),"")</f>
        <v/>
      </c>
      <c r="H30" s="7"/>
      <c r="I30" s="7"/>
      <c r="J30" s="7"/>
    </row>
    <row r="31">
      <c r="A31" s="2">
        <v>9.780140449334E12</v>
      </c>
      <c r="B31" s="2" t="s">
        <v>66</v>
      </c>
      <c r="C31" s="2" t="s">
        <v>67</v>
      </c>
      <c r="D31" s="4">
        <v>2.0</v>
      </c>
      <c r="E31" s="7">
        <f>IF(
  COUNTIFS(active!D:D, A31, active!F:F, "Processed and Borrowed") &gt; D31,
  "Error",
  COUNTIFS(active!D:D, A31, active!F:F, "Processed and Borrowed")
)
</f>
        <v>0</v>
      </c>
      <c r="F31" s="7" t="str">
        <f t="shared" si="1"/>
        <v>Available</v>
      </c>
      <c r="G31" s="9" t="str">
        <f>IFERROR(__xludf.DUMMYFUNCTION("IF(E31&gt;0, MIN(FILTER(active!H:H, (active!D:D = A31) * (active!F:F = ""Processed and Borrowed""))), """")"),"")</f>
        <v/>
      </c>
      <c r="H31" s="7"/>
      <c r="I31" s="7"/>
      <c r="J31" s="7"/>
    </row>
    <row r="32">
      <c r="A32" s="2">
        <v>9.781529038347E12</v>
      </c>
      <c r="B32" s="2" t="s">
        <v>68</v>
      </c>
      <c r="C32" s="2" t="s">
        <v>69</v>
      </c>
      <c r="D32" s="4">
        <v>2.0</v>
      </c>
      <c r="E32" s="7">
        <f>IF(
  COUNTIFS(active!D:D, A32, active!F:F, "Processed and Borrowed") &gt; D32,
  "Error",
  COUNTIFS(active!D:D, A32, active!F:F, "Processed and Borrowed")
)
</f>
        <v>0</v>
      </c>
      <c r="F32" s="7" t="str">
        <f t="shared" si="1"/>
        <v>Available</v>
      </c>
      <c r="G32" s="9" t="str">
        <f>IFERROR(__xludf.DUMMYFUNCTION("IF(E32&gt;0, MIN(FILTER(active!H:H, (active!D:D = A32) * (active!F:F = ""Processed and Borrowed""))), """")"),"")</f>
        <v/>
      </c>
      <c r="H32" s="7"/>
      <c r="I32" s="7"/>
      <c r="J32" s="7"/>
    </row>
    <row r="33">
      <c r="A33" s="2">
        <v>9.780141981727E12</v>
      </c>
      <c r="B33" s="2" t="s">
        <v>70</v>
      </c>
      <c r="C33" s="2" t="s">
        <v>71</v>
      </c>
      <c r="D33" s="4">
        <v>2.0</v>
      </c>
      <c r="E33" s="7">
        <f>IF(
  COUNTIFS(active!D:D, A33, active!F:F, "Processed and Borrowed") &gt; D33,
  "Error",
  COUNTIFS(active!D:D, A33, active!F:F, "Processed and Borrowed")
)
</f>
        <v>0</v>
      </c>
      <c r="F33" s="7" t="str">
        <f t="shared" si="1"/>
        <v>Available</v>
      </c>
      <c r="G33" s="9" t="str">
        <f>IFERROR(__xludf.DUMMYFUNCTION("IF(E33&gt;0, MIN(FILTER(active!H:H, (active!D:D = A33) * (active!F:F = ""Processed and Borrowed""))), """")"),"")</f>
        <v/>
      </c>
      <c r="H33" s="7"/>
      <c r="I33" s="7"/>
      <c r="J33" s="7"/>
    </row>
    <row r="34">
      <c r="A34" s="2">
        <v>9.781471146725E12</v>
      </c>
      <c r="B34" s="2" t="s">
        <v>72</v>
      </c>
      <c r="C34" s="2" t="s">
        <v>73</v>
      </c>
      <c r="D34" s="4">
        <v>2.0</v>
      </c>
      <c r="E34" s="7">
        <f>IF(
  COUNTIFS(active!D:D, A34, active!F:F, "Processed and Borrowed") &gt; D34,
  "Error",
  COUNTIFS(active!D:D, A34, active!F:F, "Processed and Borrowed")
)
</f>
        <v>0</v>
      </c>
      <c r="F34" s="7" t="str">
        <f t="shared" si="1"/>
        <v>Available</v>
      </c>
      <c r="G34" s="9" t="str">
        <f>IFERROR(__xludf.DUMMYFUNCTION("IF(E34&gt;0, MIN(FILTER(active!H:H, (active!D:D = A34) * (active!F:F = ""Processed and Borrowed""))), """")"),"")</f>
        <v/>
      </c>
      <c r="H34" s="7"/>
      <c r="I34" s="7"/>
      <c r="J34" s="7"/>
    </row>
    <row r="35">
      <c r="A35" s="2">
        <v>9.780241953181E12</v>
      </c>
      <c r="B35" s="2" t="s">
        <v>74</v>
      </c>
      <c r="C35" s="2" t="s">
        <v>75</v>
      </c>
      <c r="D35" s="4">
        <v>2.0</v>
      </c>
      <c r="E35" s="7">
        <f>IF(
  COUNTIFS(active!D:D, A35, active!F:F, "Processed and Borrowed") &gt; D35,
  "Error",
  COUNTIFS(active!D:D, A35, active!F:F, "Processed and Borrowed")
)
</f>
        <v>0</v>
      </c>
      <c r="F35" s="7" t="str">
        <f t="shared" si="1"/>
        <v>Available</v>
      </c>
      <c r="G35" s="9" t="str">
        <f>IFERROR(__xludf.DUMMYFUNCTION("IF(E35&gt;0, MIN(FILTER(active!H:H, (active!D:D = A35) * (active!F:F = ""Processed and Borrowed""))), """")"),"")</f>
        <v/>
      </c>
      <c r="H35" s="7"/>
      <c r="I35" s="7"/>
      <c r="J35" s="7"/>
    </row>
    <row r="36">
      <c r="A36" s="2">
        <v>9.781471195204E12</v>
      </c>
      <c r="B36" s="2" t="s">
        <v>76</v>
      </c>
      <c r="C36" s="2" t="s">
        <v>77</v>
      </c>
      <c r="D36" s="4">
        <v>2.0</v>
      </c>
      <c r="E36" s="7">
        <f>IF(
  COUNTIFS(active!D:D, A36, active!F:F, "Processed and Borrowed") &gt; D36,
  "Error",
  COUNTIFS(active!D:D, A36, active!F:F, "Processed and Borrowed")
)
</f>
        <v>0</v>
      </c>
      <c r="F36" s="7" t="str">
        <f t="shared" si="1"/>
        <v>Available</v>
      </c>
      <c r="G36" s="9" t="str">
        <f>IFERROR(__xludf.DUMMYFUNCTION("IF(E36&gt;0, MIN(FILTER(active!H:H, (active!D:D = A36) * (active!F:F = ""Processed and Borrowed""))), """")"),"")</f>
        <v/>
      </c>
      <c r="H36" s="7"/>
      <c r="I36" s="7"/>
      <c r="J36" s="7"/>
    </row>
    <row r="37">
      <c r="A37" s="2">
        <v>9.780722532935E12</v>
      </c>
      <c r="B37" s="2" t="s">
        <v>78</v>
      </c>
      <c r="C37" s="2" t="s">
        <v>79</v>
      </c>
      <c r="D37" s="4">
        <v>2.0</v>
      </c>
      <c r="E37" s="7">
        <f>IF(
  COUNTIFS(active!D:D, A37, active!F:F, "Processed and Borrowed") &gt; D37,
  "Error",
  COUNTIFS(active!D:D, A37, active!F:F, "Processed and Borrowed")
)
</f>
        <v>0</v>
      </c>
      <c r="F37" s="7" t="str">
        <f t="shared" si="1"/>
        <v>Available</v>
      </c>
      <c r="G37" s="9" t="str">
        <f>IFERROR(__xludf.DUMMYFUNCTION("IF(E37&gt;0, MIN(FILTER(active!H:H, (active!D:D = A37) * (active!F:F = ""Processed and Borrowed""))), """")"),"")</f>
        <v/>
      </c>
      <c r="H37" s="7"/>
      <c r="I37" s="7"/>
      <c r="J37" s="7"/>
    </row>
    <row r="38">
      <c r="A38" s="2">
        <v>9.780143105756E12</v>
      </c>
      <c r="B38" s="2" t="s">
        <v>80</v>
      </c>
      <c r="C38" s="2" t="s">
        <v>81</v>
      </c>
      <c r="D38" s="4">
        <v>2.0</v>
      </c>
      <c r="E38" s="7">
        <f>IF(
  COUNTIFS(active!D:D, A38, active!F:F, "Processed and Borrowed") &gt; D38,
  "Error",
  COUNTIFS(active!D:D, A38, active!F:F, "Processed and Borrowed")
)
</f>
        <v>0</v>
      </c>
      <c r="F38" s="7" t="str">
        <f t="shared" si="1"/>
        <v>Available</v>
      </c>
      <c r="G38" s="9" t="str">
        <f>IFERROR(__xludf.DUMMYFUNCTION("IF(E38&gt;0, MIN(FILTER(active!H:H, (active!D:D = A38) * (active!F:F = ""Processed and Borrowed""))), """")"),"")</f>
        <v/>
      </c>
      <c r="H38" s="7"/>
      <c r="I38" s="7"/>
      <c r="J38" s="7"/>
    </row>
    <row r="39">
      <c r="A39" s="2">
        <v>9.781784162122E12</v>
      </c>
      <c r="B39" s="2" t="s">
        <v>82</v>
      </c>
      <c r="C39" s="2" t="s">
        <v>83</v>
      </c>
      <c r="D39" s="4">
        <v>2.0</v>
      </c>
      <c r="E39" s="7">
        <f>IF(
  COUNTIFS(active!D:D, A39, active!F:F, "Processed and Borrowed") &gt; D39,
  "Error",
  COUNTIFS(active!D:D, A39, active!F:F, "Processed and Borrowed")
)
</f>
        <v>0</v>
      </c>
      <c r="F39" s="7" t="str">
        <f t="shared" si="1"/>
        <v>Available</v>
      </c>
      <c r="G39" s="9" t="str">
        <f>IFERROR(__xludf.DUMMYFUNCTION("IF(E39&gt;0, MIN(FILTER(active!H:H, (active!D:D = A39) * (active!F:F = ""Processed and Borrowed""))), """")"),"")</f>
        <v/>
      </c>
      <c r="H39" s="7"/>
      <c r="I39" s="7"/>
      <c r="J39" s="7"/>
    </row>
    <row r="40">
      <c r="A40" s="2">
        <v>9.780141315188E12</v>
      </c>
      <c r="B40" s="2" t="s">
        <v>84</v>
      </c>
      <c r="C40" s="2" t="s">
        <v>85</v>
      </c>
      <c r="D40" s="4">
        <v>2.0</v>
      </c>
      <c r="E40" s="7">
        <f>IF(
  COUNTIFS(active!D:D, A40, active!F:F, "Processed and Borrowed") &gt; D40,
  "Error",
  COUNTIFS(active!D:D, A40, active!F:F, "Processed and Borrowed")
)
</f>
        <v>0</v>
      </c>
      <c r="F40" s="7" t="str">
        <f t="shared" si="1"/>
        <v>Available</v>
      </c>
      <c r="G40" s="9" t="str">
        <f>IFERROR(__xludf.DUMMYFUNCTION("IF(E40&gt;0, MIN(FILTER(active!H:H, (active!D:D = A40) * (active!F:F = ""Processed and Borrowed""))), """")"),"")</f>
        <v/>
      </c>
      <c r="H40" s="7"/>
      <c r="I40" s="7"/>
      <c r="J40" s="7"/>
    </row>
    <row r="41">
      <c r="A41" s="2">
        <v>9.780099537168E12</v>
      </c>
      <c r="B41" s="2" t="s">
        <v>86</v>
      </c>
      <c r="C41" s="2" t="s">
        <v>87</v>
      </c>
      <c r="D41" s="4">
        <v>2.0</v>
      </c>
      <c r="E41" s="7">
        <f>IF(
  COUNTIFS(active!D:D, A41, active!F:F, "Processed and Borrowed") &gt; D41,
  "Error",
  COUNTIFS(active!D:D, A41, active!F:F, "Processed and Borrowed")
)
</f>
        <v>0</v>
      </c>
      <c r="F41" s="7" t="str">
        <f t="shared" si="1"/>
        <v>Available</v>
      </c>
      <c r="G41" s="9" t="str">
        <f>IFERROR(__xludf.DUMMYFUNCTION("IF(E41&gt;0, MIN(FILTER(active!H:H, (active!D:D = A41) * (active!F:F = ""Processed and Borrowed""))), """")"),"")</f>
        <v/>
      </c>
      <c r="H41" s="7"/>
      <c r="I41" s="7"/>
      <c r="J41" s="7"/>
    </row>
    <row r="42">
      <c r="A42" s="2">
        <v>9.78014103357E12</v>
      </c>
      <c r="B42" s="2" t="s">
        <v>89</v>
      </c>
      <c r="C42" s="2" t="s">
        <v>90</v>
      </c>
      <c r="D42" s="4">
        <v>2.0</v>
      </c>
      <c r="E42" s="7">
        <f>IF(
  COUNTIFS(active!D:D, A42, active!F:F, "Processed and Borrowed") &gt; D42,
  "Error",
  COUNTIFS(active!D:D, A42, active!F:F, "Processed and Borrowed")
)
</f>
        <v>0</v>
      </c>
      <c r="F42" s="7" t="str">
        <f t="shared" si="1"/>
        <v>Available</v>
      </c>
      <c r="G42" s="9" t="str">
        <f>IFERROR(__xludf.DUMMYFUNCTION("IF(E42&gt;0, MIN(FILTER(active!H:H, (active!D:D = A42) * (active!F:F = ""Processed and Borrowed""))), """")"),"")</f>
        <v/>
      </c>
      <c r="H42" s="7"/>
      <c r="I42" s="7"/>
      <c r="J42" s="7"/>
    </row>
    <row r="43">
      <c r="A43" s="2">
        <v>9.781784701994E12</v>
      </c>
      <c r="B43" s="2" t="s">
        <v>91</v>
      </c>
      <c r="C43" s="2" t="s">
        <v>92</v>
      </c>
      <c r="D43" s="4">
        <v>2.0</v>
      </c>
      <c r="E43" s="7">
        <f>IF(
  COUNTIFS(active!D:D, A43, active!F:F, "Processed and Borrowed") &gt; D43,
  "Error",
  COUNTIFS(active!D:D, A43, active!F:F, "Processed and Borrowed")
)
</f>
        <v>0</v>
      </c>
      <c r="F43" s="7" t="str">
        <f t="shared" si="1"/>
        <v>Available</v>
      </c>
      <c r="G43" s="9" t="str">
        <f>IFERROR(__xludf.DUMMYFUNCTION("IF(E43&gt;0, MIN(FILTER(active!H:H, (active!D:D = A43) * (active!F:F = ""Processed and Borrowed""))), """")"),"")</f>
        <v/>
      </c>
      <c r="H43" s="7"/>
      <c r="I43" s="7"/>
      <c r="J43" s="7"/>
    </row>
    <row r="44">
      <c r="A44" s="2">
        <v>9.780349411903E12</v>
      </c>
      <c r="B44" s="2" t="s">
        <v>93</v>
      </c>
      <c r="C44" s="2" t="s">
        <v>94</v>
      </c>
      <c r="D44" s="4">
        <v>2.0</v>
      </c>
      <c r="E44" s="7">
        <f>IF(
  COUNTIFS(active!D:D, A44, active!F:F, "Processed and Borrowed") &gt; D44,
  "Error",
  COUNTIFS(active!D:D, A44, active!F:F, "Processed and Borrowed")
)
</f>
        <v>0</v>
      </c>
      <c r="F44" s="7" t="str">
        <f t="shared" si="1"/>
        <v>Available</v>
      </c>
      <c r="G44" s="9" t="str">
        <f>IFERROR(__xludf.DUMMYFUNCTION("IF(E44&gt;0, MIN(FILTER(active!H:H, (active!D:D = A44) * (active!F:F = ""Processed and Borrowed""))), """")"),"")</f>
        <v/>
      </c>
      <c r="H44" s="7"/>
      <c r="I44" s="7"/>
      <c r="J44" s="7"/>
    </row>
    <row r="45">
      <c r="A45" s="2">
        <v>9.780753827666E12</v>
      </c>
      <c r="B45" s="2" t="s">
        <v>95</v>
      </c>
      <c r="C45" s="2" t="s">
        <v>96</v>
      </c>
      <c r="D45" s="4">
        <v>2.0</v>
      </c>
      <c r="E45" s="7">
        <f>IF(
  COUNTIFS(active!D:D, A45, active!F:F, "Processed and Borrowed") &gt; D45,
  "Error",
  COUNTIFS(active!D:D, A45, active!F:F, "Processed and Borrowed")
)
</f>
        <v>0</v>
      </c>
      <c r="F45" s="7" t="str">
        <f t="shared" si="1"/>
        <v>Available</v>
      </c>
      <c r="G45" s="9" t="str">
        <f>IFERROR(__xludf.DUMMYFUNCTION("IF(E45&gt;0, MIN(FILTER(active!H:H, (active!D:D = A45) * (active!F:F = ""Processed and Borrowed""))), """")"),"")</f>
        <v/>
      </c>
      <c r="H45" s="7"/>
      <c r="I45" s="7"/>
      <c r="J45" s="7"/>
    </row>
    <row r="46">
      <c r="A46" s="2">
        <v>9.781399607773E12</v>
      </c>
      <c r="B46" s="2" t="s">
        <v>98</v>
      </c>
      <c r="C46" s="2" t="s">
        <v>99</v>
      </c>
      <c r="D46" s="4">
        <v>2.0</v>
      </c>
      <c r="E46" s="7">
        <f>IF(
  COUNTIFS(active!D:D, A46, active!F:F, "Processed and Borrowed") &gt; D46,
  "Error",
  COUNTIFS(active!D:D, A46, active!F:F, "Processed and Borrowed")
)
</f>
        <v>0</v>
      </c>
      <c r="F46" s="7" t="str">
        <f t="shared" si="1"/>
        <v>Available</v>
      </c>
      <c r="G46" s="9" t="str">
        <f>IFERROR(__xludf.DUMMYFUNCTION("IF(E46&gt;0, MIN(FILTER(active!H:H, (active!D:D = A46) * (active!F:F = ""Processed and Borrowed""))), """")"),"")</f>
        <v/>
      </c>
      <c r="H46" s="7"/>
      <c r="I46" s="7"/>
      <c r="J46" s="7"/>
    </row>
    <row r="47">
      <c r="A47" s="2">
        <v>9.780349140438E12</v>
      </c>
      <c r="B47" s="2" t="s">
        <v>100</v>
      </c>
      <c r="C47" s="2" t="s">
        <v>101</v>
      </c>
      <c r="D47" s="4">
        <v>2.0</v>
      </c>
      <c r="E47" s="7">
        <f>IF(
  COUNTIFS(active!D:D, A47, active!F:F, "Processed and Borrowed") &gt; D47,
  "Error",
  COUNTIFS(active!D:D, A47, active!F:F, "Processed and Borrowed")
)
</f>
        <v>0</v>
      </c>
      <c r="F47" s="7" t="str">
        <f t="shared" si="1"/>
        <v>Available</v>
      </c>
      <c r="G47" s="9" t="str">
        <f>IFERROR(__xludf.DUMMYFUNCTION("IF(E47&gt;0, MIN(FILTER(active!H:H, (active!D:D = A47) * (active!F:F = ""Processed and Borrowed""))), """")"),"")</f>
        <v/>
      </c>
      <c r="H47" s="7"/>
      <c r="I47" s="7"/>
      <c r="J47" s="7"/>
    </row>
    <row r="48">
      <c r="A48" s="2">
        <v>9.781529432398E12</v>
      </c>
      <c r="B48" s="2" t="s">
        <v>102</v>
      </c>
      <c r="C48" s="2" t="s">
        <v>103</v>
      </c>
      <c r="D48" s="4">
        <v>2.0</v>
      </c>
      <c r="E48" s="7">
        <f>IF(
  COUNTIFS(active!D:D, A48, active!F:F, "Processed and Borrowed") &gt; D48,
  "Error",
  COUNTIFS(active!D:D, A48, active!F:F, "Processed and Borrowed")
)
</f>
        <v>0</v>
      </c>
      <c r="F48" s="7" t="str">
        <f t="shared" si="1"/>
        <v>Available</v>
      </c>
      <c r="G48" s="9" t="str">
        <f>IFERROR(__xludf.DUMMYFUNCTION("IF(E48&gt;0, MIN(FILTER(active!H:H, (active!D:D = A48) * (active!F:F = ""Processed and Borrowed""))), """")"),"")</f>
        <v/>
      </c>
      <c r="H48" s="7"/>
      <c r="I48" s="7"/>
      <c r="J48" s="7"/>
    </row>
    <row r="49">
      <c r="A49" s="2">
        <v>9.781409181637E12</v>
      </c>
      <c r="B49" s="2" t="s">
        <v>104</v>
      </c>
      <c r="C49" s="2" t="s">
        <v>105</v>
      </c>
      <c r="D49" s="4">
        <v>2.0</v>
      </c>
      <c r="E49" s="7">
        <f>IF(
  COUNTIFS(active!D:D, A49, active!F:F, "Processed and Borrowed") &gt; D49,
  "Error",
  COUNTIFS(active!D:D, A49, active!F:F, "Processed and Borrowed")
)
</f>
        <v>0</v>
      </c>
      <c r="F49" s="7" t="str">
        <f t="shared" si="1"/>
        <v>Available</v>
      </c>
      <c r="G49" s="9" t="str">
        <f>IFERROR(__xludf.DUMMYFUNCTION("IF(E49&gt;0, MIN(FILTER(active!H:H, (active!D:D = A49) * (active!F:F = ""Processed and Borrowed""))), """")"),"")</f>
        <v/>
      </c>
      <c r="H49" s="7"/>
      <c r="I49" s="7"/>
      <c r="J49" s="7"/>
    </row>
    <row r="50">
      <c r="A50" s="2">
        <v>9.781473649521E12</v>
      </c>
      <c r="B50" s="2" t="s">
        <v>106</v>
      </c>
      <c r="C50" s="2" t="s">
        <v>107</v>
      </c>
      <c r="D50" s="4">
        <v>2.0</v>
      </c>
      <c r="E50" s="7">
        <f>IF(
  COUNTIFS(active!D:D, A50, active!F:F, "Processed and Borrowed") &gt; D50,
  "Error",
  COUNTIFS(active!D:D, A50, active!F:F, "Processed and Borrowed")
)
</f>
        <v>0</v>
      </c>
      <c r="F50" s="7" t="str">
        <f t="shared" si="1"/>
        <v>Available</v>
      </c>
      <c r="G50" s="9" t="str">
        <f>IFERROR(__xludf.DUMMYFUNCTION("IF(E50&gt;0, MIN(FILTER(active!H:H, (active!D:D = A50) * (active!F:F = ""Processed and Borrowed""))), """")"),"")</f>
        <v/>
      </c>
      <c r="H50" s="7"/>
      <c r="I50" s="7"/>
      <c r="J50" s="7"/>
    </row>
    <row r="51">
      <c r="A51" s="2">
        <v>9.780008123208E12</v>
      </c>
      <c r="B51" s="2" t="s">
        <v>108</v>
      </c>
      <c r="C51" s="2" t="s">
        <v>109</v>
      </c>
      <c r="D51" s="4">
        <v>2.0</v>
      </c>
      <c r="E51" s="7">
        <f>IF(
  COUNTIFS(active!D:D, A51, active!F:F, "Processed and Borrowed") &gt; D51,
  "Error",
  COUNTIFS(active!D:D, A51, active!F:F, "Processed and Borrowed")
)
</f>
        <v>0</v>
      </c>
      <c r="F51" s="7" t="str">
        <f t="shared" si="1"/>
        <v>Available</v>
      </c>
      <c r="G51" s="9" t="str">
        <f>IFERROR(__xludf.DUMMYFUNCTION("IF(E51&gt;0, MIN(FILTER(active!H:H, (active!D:D = A51) * (active!F:F = ""Processed and Borrowed""))), """")"),"")</f>
        <v/>
      </c>
      <c r="H51" s="7"/>
      <c r="I51" s="7"/>
      <c r="J51" s="7"/>
    </row>
    <row r="52">
      <c r="A52" s="2">
        <v>9.780552164139E12</v>
      </c>
      <c r="B52" s="2" t="s">
        <v>110</v>
      </c>
      <c r="C52" s="2" t="s">
        <v>111</v>
      </c>
      <c r="D52" s="4">
        <v>2.0</v>
      </c>
      <c r="E52" s="7">
        <f>IF(
  COUNTIFS(active!D:D, A52, active!F:F, "Processed and Borrowed") &gt; D52,
  "Error",
  COUNTIFS(active!D:D, A52, active!F:F, "Processed and Borrowed")
)
</f>
        <v>0</v>
      </c>
      <c r="F52" s="7" t="str">
        <f t="shared" si="1"/>
        <v>Available</v>
      </c>
      <c r="G52" s="9" t="str">
        <f>IFERROR(__xludf.DUMMYFUNCTION("IF(E52&gt;0, MIN(FILTER(active!H:H, (active!D:D = A52) * (active!F:F = ""Processed and Borrowed""))), """")"),"")</f>
        <v/>
      </c>
      <c r="H52" s="7"/>
      <c r="I52" s="7"/>
      <c r="J52" s="7"/>
    </row>
    <row r="53">
      <c r="A53" s="2">
        <v>9.780099511021E12</v>
      </c>
      <c r="B53" s="2" t="s">
        <v>112</v>
      </c>
      <c r="C53" s="2" t="s">
        <v>113</v>
      </c>
      <c r="D53" s="4">
        <v>2.0</v>
      </c>
      <c r="E53" s="7">
        <f>IF(
  COUNTIFS(active!D:D, A53, active!F:F, "Processed and Borrowed") &gt; D53,
  "Error",
  COUNTIFS(active!D:D, A53, active!F:F, "Processed and Borrowed")
)
</f>
        <v>0</v>
      </c>
      <c r="F53" s="7" t="str">
        <f t="shared" si="1"/>
        <v>Available</v>
      </c>
      <c r="G53" s="9" t="str">
        <f>IFERROR(__xludf.DUMMYFUNCTION("IF(E53&gt;0, MIN(FILTER(active!H:H, (active!D:D = A53) * (active!F:F = ""Processed and Borrowed""))), """")"),"")</f>
        <v/>
      </c>
      <c r="H53" s="7"/>
      <c r="I53" s="7"/>
      <c r="J53" s="7"/>
    </row>
    <row r="54">
      <c r="A54" s="2">
        <v>9.780006546061E12</v>
      </c>
      <c r="B54" s="2" t="s">
        <v>114</v>
      </c>
      <c r="C54" s="2" t="s">
        <v>115</v>
      </c>
      <c r="D54" s="4">
        <v>2.0</v>
      </c>
      <c r="E54" s="7">
        <f>IF(
  COUNTIFS(active!D:D, A54, active!F:F, "Processed and Borrowed") &gt; D54,
  "Error",
  COUNTIFS(active!D:D, A54, active!F:F, "Processed and Borrowed")
)
</f>
        <v>0</v>
      </c>
      <c r="F54" s="7" t="str">
        <f t="shared" si="1"/>
        <v>Available</v>
      </c>
      <c r="G54" s="9" t="str">
        <f>IFERROR(__xludf.DUMMYFUNCTION("IF(E54&gt;0, MIN(FILTER(active!H:H, (active!D:D = A54) * (active!F:F = ""Processed and Borrowed""))), """")"),"")</f>
        <v/>
      </c>
      <c r="H54" s="7"/>
      <c r="I54" s="7"/>
      <c r="J54" s="7"/>
    </row>
    <row r="55">
      <c r="A55" s="2">
        <v>9.78071267609E12</v>
      </c>
      <c r="B55" s="2" t="s">
        <v>116</v>
      </c>
      <c r="C55" s="2" t="s">
        <v>117</v>
      </c>
      <c r="D55" s="4">
        <v>2.0</v>
      </c>
      <c r="E55" s="7">
        <f>IF(
  COUNTIFS(active!D:D, A55, active!F:F, "Processed and Borrowed") &gt; D55,
  "Error",
  COUNTIFS(active!D:D, A55, active!F:F, "Processed and Borrowed")
)
</f>
        <v>0</v>
      </c>
      <c r="F55" s="7" t="str">
        <f t="shared" si="1"/>
        <v>Available</v>
      </c>
      <c r="G55" s="9" t="str">
        <f>IFERROR(__xludf.DUMMYFUNCTION("IF(E55&gt;0, MIN(FILTER(active!H:H, (active!D:D = A55) * (active!F:F = ""Processed and Borrowed""))), """")"),"")</f>
        <v/>
      </c>
      <c r="H55" s="7"/>
      <c r="I55" s="7"/>
      <c r="J55" s="7"/>
    </row>
    <row r="56">
      <c r="A56" s="2">
        <v>9.781785040207E12</v>
      </c>
      <c r="B56" s="2" t="s">
        <v>118</v>
      </c>
      <c r="C56" s="2" t="s">
        <v>119</v>
      </c>
      <c r="D56" s="4">
        <v>2.0</v>
      </c>
      <c r="E56" s="7">
        <f>IF(
  COUNTIFS(active!D:D, A56, active!F:F, "Processed and Borrowed") &gt; D56,
  "Error",
  COUNTIFS(active!D:D, A56, active!F:F, "Processed and Borrowed")
)
</f>
        <v>0</v>
      </c>
      <c r="F56" s="7" t="str">
        <f t="shared" si="1"/>
        <v>Available</v>
      </c>
      <c r="G56" s="9" t="str">
        <f>IFERROR(__xludf.DUMMYFUNCTION("IF(E56&gt;0, MIN(FILTER(active!H:H, (active!D:D = A56) * (active!F:F = ""Processed and Borrowed""))), """")"),"")</f>
        <v/>
      </c>
      <c r="H56" s="7"/>
      <c r="I56" s="7"/>
      <c r="J56" s="7"/>
    </row>
    <row r="57">
      <c r="A57" s="2">
        <v>9.7813996095E12</v>
      </c>
      <c r="B57" s="2" t="s">
        <v>121</v>
      </c>
      <c r="C57" s="2" t="s">
        <v>122</v>
      </c>
      <c r="D57" s="4">
        <v>2.0</v>
      </c>
      <c r="E57" s="7">
        <f>IF(
  COUNTIFS(active!D:D, A57, active!F:F, "Processed and Borrowed") &gt; D57,
  "Error",
  COUNTIFS(active!D:D, A57, active!F:F, "Processed and Borrowed")
)
</f>
        <v>0</v>
      </c>
      <c r="F57" s="7" t="str">
        <f t="shared" si="1"/>
        <v>Available</v>
      </c>
      <c r="G57" s="9" t="str">
        <f>IFERROR(__xludf.DUMMYFUNCTION("IF(E57&gt;0, MIN(FILTER(active!H:H, (active!D:D = A57) * (active!F:F = ""Processed and Borrowed""))), """")"),"")</f>
        <v/>
      </c>
      <c r="H57" s="7"/>
      <c r="I57" s="7"/>
      <c r="J57" s="7"/>
    </row>
    <row r="58">
      <c r="A58" s="2">
        <v>9.78009951112E12</v>
      </c>
      <c r="B58" s="2" t="s">
        <v>123</v>
      </c>
      <c r="C58" s="2" t="s">
        <v>124</v>
      </c>
      <c r="D58" s="4">
        <v>2.0</v>
      </c>
      <c r="E58" s="7">
        <f>IF(
  COUNTIFS(active!D:D, A58, active!F:F, "Processed and Borrowed") &gt; D58,
  "Error",
  COUNTIFS(active!D:D, A58, active!F:F, "Processed and Borrowed")
)
</f>
        <v>0</v>
      </c>
      <c r="F58" s="7" t="str">
        <f t="shared" si="1"/>
        <v>Available</v>
      </c>
      <c r="G58" s="9" t="str">
        <f>IFERROR(__xludf.DUMMYFUNCTION("IF(E58&gt;0, MIN(FILTER(active!H:H, (active!D:D = A58) * (active!F:F = ""Processed and Borrowed""))), """")"),"")</f>
        <v/>
      </c>
      <c r="H58" s="7"/>
      <c r="I58" s="7"/>
      <c r="J58" s="7"/>
    </row>
    <row r="59">
      <c r="A59" s="2">
        <v>9.780349106533E12</v>
      </c>
      <c r="B59" s="2" t="s">
        <v>125</v>
      </c>
      <c r="C59" s="2" t="s">
        <v>126</v>
      </c>
      <c r="D59" s="4">
        <v>2.0</v>
      </c>
      <c r="E59" s="7">
        <f>IF(
  COUNTIFS(active!D:D, A59, active!F:F, "Processed and Borrowed") &gt; D59,
  "Error",
  COUNTIFS(active!D:D, A59, active!F:F, "Processed and Borrowed")
)
</f>
        <v>0</v>
      </c>
      <c r="F59" s="7" t="str">
        <f t="shared" si="1"/>
        <v>Available</v>
      </c>
      <c r="G59" s="9" t="str">
        <f>IFERROR(__xludf.DUMMYFUNCTION("IF(E59&gt;0, MIN(FILTER(active!H:H, (active!D:D = A59) * (active!F:F = ""Processed and Borrowed""))), """")"),"")</f>
        <v/>
      </c>
      <c r="H59" s="7"/>
      <c r="I59" s="7"/>
      <c r="J59" s="7"/>
    </row>
    <row r="60">
      <c r="A60" s="2">
        <v>9.780007281435E12</v>
      </c>
      <c r="B60" s="2" t="s">
        <v>127</v>
      </c>
      <c r="C60" s="2" t="s">
        <v>128</v>
      </c>
      <c r="D60" s="4">
        <v>2.0</v>
      </c>
      <c r="E60" s="7">
        <f>IF(
  COUNTIFS(active!D:D, A60, active!F:F, "Processed and Borrowed") &gt; D60,
  "Error",
  COUNTIFS(active!D:D, A60, active!F:F, "Processed and Borrowed")
)
</f>
        <v>0</v>
      </c>
      <c r="F60" s="7" t="str">
        <f t="shared" si="1"/>
        <v>Available</v>
      </c>
      <c r="G60" s="9" t="str">
        <f>IFERROR(__xludf.DUMMYFUNCTION("IF(E60&gt;0, MIN(FILTER(active!H:H, (active!D:D = A60) * (active!F:F = ""Processed and Borrowed""))), """")"),"")</f>
        <v/>
      </c>
      <c r="H60" s="7"/>
      <c r="I60" s="7"/>
      <c r="J60" s="7"/>
    </row>
    <row r="61">
      <c r="A61" s="2">
        <v>9.780099511151E12</v>
      </c>
      <c r="B61" s="2" t="s">
        <v>129</v>
      </c>
      <c r="C61" s="2" t="s">
        <v>130</v>
      </c>
      <c r="D61" s="4">
        <v>2.0</v>
      </c>
      <c r="E61" s="7">
        <f>IF(
  COUNTIFS(active!D:D, A61, active!F:F, "Processed and Borrowed") &gt; D61,
  "Error",
  COUNTIFS(active!D:D, A61, active!F:F, "Processed and Borrowed")
)
</f>
        <v>0</v>
      </c>
      <c r="F61" s="7" t="str">
        <f t="shared" si="1"/>
        <v>Available</v>
      </c>
      <c r="G61" s="9" t="str">
        <f>IFERROR(__xludf.DUMMYFUNCTION("IF(E61&gt;0, MIN(FILTER(active!H:H, (active!D:D = A61) * (active!F:F = ""Processed and Borrowed""))), """")"),"")</f>
        <v/>
      </c>
      <c r="H61" s="7"/>
      <c r="I61" s="7"/>
      <c r="J61" s="7"/>
    </row>
    <row r="62">
      <c r="A62" s="2">
        <v>9.780552159715E12</v>
      </c>
      <c r="B62" s="2" t="s">
        <v>131</v>
      </c>
      <c r="C62" s="2" t="s">
        <v>132</v>
      </c>
      <c r="D62" s="4">
        <v>2.0</v>
      </c>
      <c r="E62" s="7">
        <f>IF(
  COUNTIFS(active!D:D, A62, active!F:F, "Processed and Borrowed") &gt; D62,
  "Error",
  COUNTIFS(active!D:D, A62, active!F:F, "Processed and Borrowed")
)
</f>
        <v>0</v>
      </c>
      <c r="F62" s="7" t="str">
        <f t="shared" si="1"/>
        <v>Available</v>
      </c>
      <c r="G62" s="9" t="str">
        <f>IFERROR(__xludf.DUMMYFUNCTION("IF(E62&gt;0, MIN(FILTER(active!H:H, (active!D:D = A62) * (active!F:F = ""Processed and Borrowed""))), """")"),"")</f>
        <v/>
      </c>
      <c r="H62" s="7"/>
      <c r="I62" s="7"/>
      <c r="J62" s="7"/>
    </row>
    <row r="63">
      <c r="A63" s="2">
        <v>9.78009953709E12</v>
      </c>
      <c r="B63" s="2" t="s">
        <v>133</v>
      </c>
      <c r="C63" s="2" t="s">
        <v>87</v>
      </c>
      <c r="D63" s="4">
        <v>2.0</v>
      </c>
      <c r="E63" s="7">
        <f>IF(
  COUNTIFS(active!D:D, A63, active!F:F, "Processed and Borrowed") &gt; D63,
  "Error",
  COUNTIFS(active!D:D, A63, active!F:F, "Processed and Borrowed")
)
</f>
        <v>0</v>
      </c>
      <c r="F63" s="7" t="str">
        <f t="shared" si="1"/>
        <v>Available</v>
      </c>
      <c r="G63" s="9" t="str">
        <f>IFERROR(__xludf.DUMMYFUNCTION("IF(E63&gt;0, MIN(FILTER(active!H:H, (active!D:D = A63) * (active!F:F = ""Processed and Borrowed""))), """")"),"")</f>
        <v/>
      </c>
      <c r="H63" s="7"/>
      <c r="I63" s="7"/>
      <c r="J63" s="7"/>
    </row>
    <row r="64">
      <c r="A64" s="2">
        <v>9.780062888747E12</v>
      </c>
      <c r="B64" s="2" t="s">
        <v>134</v>
      </c>
      <c r="C64" s="2" t="s">
        <v>135</v>
      </c>
      <c r="D64" s="4">
        <v>2.0</v>
      </c>
      <c r="E64" s="7">
        <f>IF(
  COUNTIFS(active!D:D, A64, active!F:F, "Processed and Borrowed") &gt; D64,
  "Error",
  COUNTIFS(active!D:D, A64, active!F:F, "Processed and Borrowed")
)
</f>
        <v>0</v>
      </c>
      <c r="F64" s="7" t="str">
        <f t="shared" si="1"/>
        <v>Available</v>
      </c>
      <c r="G64" s="9" t="str">
        <f>IFERROR(__xludf.DUMMYFUNCTION("IF(E64&gt;0, MIN(FILTER(active!H:H, (active!D:D = A64) * (active!F:F = ""Processed and Borrowed""))), """")"),"")</f>
        <v/>
      </c>
      <c r="H64" s="7"/>
      <c r="I64" s="7"/>
      <c r="J64" s="7"/>
    </row>
    <row r="65">
      <c r="A65" s="2">
        <v>9.781526604743E12</v>
      </c>
      <c r="B65" s="2" t="s">
        <v>137</v>
      </c>
      <c r="C65" s="2" t="s">
        <v>52</v>
      </c>
      <c r="D65" s="4">
        <v>2.0</v>
      </c>
      <c r="E65" s="7">
        <f>IF(
  COUNTIFS(active!D:D, A65, active!F:F, "Processed and Borrowed") &gt; D65,
  "Error",
  COUNTIFS(active!D:D, A65, active!F:F, "Processed and Borrowed")
)
</f>
        <v>0</v>
      </c>
      <c r="F65" s="7" t="str">
        <f t="shared" si="1"/>
        <v>Available</v>
      </c>
      <c r="G65" s="9" t="str">
        <f>IFERROR(__xludf.DUMMYFUNCTION("IF(E65&gt;0, MIN(FILTER(active!H:H, (active!D:D = A65) * (active!F:F = ""Processed and Borrowed""))), """")"),"")</f>
        <v/>
      </c>
      <c r="H65" s="7"/>
      <c r="I65" s="7"/>
      <c r="J65" s="7"/>
    </row>
    <row r="66">
      <c r="A66" s="2">
        <v>9.781846046964E12</v>
      </c>
      <c r="B66" s="2" t="s">
        <v>139</v>
      </c>
      <c r="C66" s="2" t="s">
        <v>140</v>
      </c>
      <c r="D66" s="4">
        <v>2.0</v>
      </c>
      <c r="E66" s="7">
        <f>IF(
  COUNTIFS(active!D:D, A66, active!F:F, "Processed and Borrowed") &gt; D66,
  "Error",
  COUNTIFS(active!D:D, A66, active!F:F, "Processed and Borrowed")
)
</f>
        <v>0</v>
      </c>
      <c r="F66" s="7" t="str">
        <f t="shared" si="1"/>
        <v>Available</v>
      </c>
      <c r="G66" s="9" t="str">
        <f>IFERROR(__xludf.DUMMYFUNCTION("IF(E66&gt;0, MIN(FILTER(active!H:H, (active!D:D = A66) * (active!F:F = ""Processed and Borrowed""))), """")"),"")</f>
        <v/>
      </c>
      <c r="H66" s="7"/>
      <c r="I66" s="7"/>
      <c r="J66" s="7"/>
    </row>
    <row r="67">
      <c r="A67" s="2">
        <v>9.78006264154E12</v>
      </c>
      <c r="B67" s="2" t="s">
        <v>141</v>
      </c>
      <c r="C67" s="2" t="s">
        <v>142</v>
      </c>
      <c r="D67" s="4">
        <v>2.0</v>
      </c>
      <c r="E67" s="7">
        <f>IF(
  COUNTIFS(active!D:D, A67, active!F:F, "Processed and Borrowed") &gt; D67,
  "Error",
  COUNTIFS(active!D:D, A67, active!F:F, "Processed and Borrowed")
)
</f>
        <v>0</v>
      </c>
      <c r="F67" s="7" t="str">
        <f t="shared" si="1"/>
        <v>Available</v>
      </c>
      <c r="G67" s="9" t="str">
        <f>IFERROR(__xludf.DUMMYFUNCTION("IF(E67&gt;0, MIN(FILTER(active!H:H, (active!D:D = A67) * (active!F:F = ""Processed and Borrowed""))), """")"),"")</f>
        <v/>
      </c>
      <c r="H67" s="7"/>
      <c r="I67" s="7"/>
      <c r="J67" s="7"/>
    </row>
    <row r="68">
      <c r="A68" s="2">
        <v>9.781786330895E12</v>
      </c>
      <c r="B68" s="2" t="s">
        <v>143</v>
      </c>
      <c r="C68" s="2" t="s">
        <v>144</v>
      </c>
      <c r="D68" s="4">
        <v>2.0</v>
      </c>
      <c r="E68" s="7">
        <f>IF(
  COUNTIFS(active!D:D, A68, active!F:F, "Processed and Borrowed") &gt; D68,
  "Error",
  COUNTIFS(active!D:D, A68, active!F:F, "Processed and Borrowed")
)
</f>
        <v>0</v>
      </c>
      <c r="F68" s="7" t="str">
        <f t="shared" si="1"/>
        <v>Available</v>
      </c>
      <c r="G68" s="9" t="str">
        <f>IFERROR(__xludf.DUMMYFUNCTION("IF(E68&gt;0, MIN(FILTER(active!H:H, (active!D:D = A68) * (active!F:F = ""Processed and Borrowed""))), """")"),"")</f>
        <v/>
      </c>
      <c r="H68" s="7"/>
      <c r="I68" s="7"/>
      <c r="J68" s="7"/>
    </row>
    <row r="69">
      <c r="A69" s="2">
        <v>9.781524762407E12</v>
      </c>
      <c r="B69" s="2" t="s">
        <v>145</v>
      </c>
      <c r="C69" s="2" t="s">
        <v>146</v>
      </c>
      <c r="D69" s="4">
        <v>2.0</v>
      </c>
      <c r="E69" s="7">
        <f>IF(
  COUNTIFS(active!D:D, A69, active!F:F, "Processed and Borrowed") &gt; D69,
  "Error",
  COUNTIFS(active!D:D, A69, active!F:F, "Processed and Borrowed")
)
</f>
        <v>0</v>
      </c>
      <c r="F69" s="7" t="str">
        <f t="shared" si="1"/>
        <v>Available</v>
      </c>
      <c r="G69" s="9" t="str">
        <f>IFERROR(__xludf.DUMMYFUNCTION("IF(E69&gt;0, MIN(FILTER(active!H:H, (active!D:D = A69) * (active!F:F = ""Processed and Borrowed""))), """")"),"")</f>
        <v/>
      </c>
      <c r="H69" s="7"/>
      <c r="I69" s="7"/>
      <c r="J69" s="7"/>
    </row>
    <row r="70">
      <c r="A70" s="2">
        <v>9.780061339202E12</v>
      </c>
      <c r="B70" s="2" t="s">
        <v>147</v>
      </c>
      <c r="C70" s="2" t="s">
        <v>148</v>
      </c>
      <c r="D70" s="4">
        <v>2.0</v>
      </c>
      <c r="E70" s="7">
        <f>IF(
  COUNTIFS(active!D:D, A70, active!F:F, "Processed and Borrowed") &gt; D70,
  "Error",
  COUNTIFS(active!D:D, A70, active!F:F, "Processed and Borrowed")
)
</f>
        <v>0</v>
      </c>
      <c r="F70" s="7" t="str">
        <f t="shared" si="1"/>
        <v>Available</v>
      </c>
      <c r="G70" s="9" t="str">
        <f>IFERROR(__xludf.DUMMYFUNCTION("IF(E70&gt;0, MIN(FILTER(active!H:H, (active!D:D = A70) * (active!F:F = ""Processed and Borrowed""))), """")"),"")</f>
        <v/>
      </c>
      <c r="H70" s="7"/>
      <c r="I70" s="7"/>
      <c r="J70" s="7"/>
    </row>
    <row r="71">
      <c r="A71" s="2">
        <v>9.781035003792E12</v>
      </c>
      <c r="B71" s="2" t="s">
        <v>149</v>
      </c>
      <c r="C71" s="2" t="s">
        <v>150</v>
      </c>
      <c r="D71" s="4">
        <v>2.0</v>
      </c>
      <c r="E71" s="7">
        <f>IF(
  COUNTIFS(active!D:D, A71, active!F:F, "Processed and Borrowed") &gt; D71,
  "Error",
  COUNTIFS(active!D:D, A71, active!F:F, "Processed and Borrowed")
)
</f>
        <v>0</v>
      </c>
      <c r="F71" s="7" t="str">
        <f t="shared" si="1"/>
        <v>Available</v>
      </c>
      <c r="G71" s="9" t="str">
        <f>IFERROR(__xludf.DUMMYFUNCTION("IF(E71&gt;0, MIN(FILTER(active!H:H, (active!D:D = A71) * (active!F:F = ""Processed and Borrowed""))), """")"),"")</f>
        <v/>
      </c>
      <c r="H71" s="7"/>
      <c r="I71" s="7"/>
      <c r="J71" s="7"/>
    </row>
    <row r="72">
      <c r="A72" s="2">
        <v>9.780857088475E12</v>
      </c>
      <c r="B72" s="2" t="s">
        <v>152</v>
      </c>
      <c r="C72" s="2" t="s">
        <v>153</v>
      </c>
      <c r="D72" s="4">
        <v>2.0</v>
      </c>
      <c r="E72" s="7">
        <f>IF(
  COUNTIFS(active!D:D, A72, active!F:F, "Processed and Borrowed") &gt; D72,
  "Error",
  COUNTIFS(active!D:D, A72, active!F:F, "Processed and Borrowed")
)
</f>
        <v>0</v>
      </c>
      <c r="F72" s="7" t="str">
        <f t="shared" si="1"/>
        <v>Available</v>
      </c>
      <c r="G72" s="9" t="str">
        <f>IFERROR(__xludf.DUMMYFUNCTION("IF(E72&gt;0, MIN(FILTER(active!H:H, (active!D:D = A72) * (active!F:F = ""Processed and Borrowed""))), """")"),"")</f>
        <v/>
      </c>
      <c r="H72" s="7"/>
      <c r="I72" s="7"/>
      <c r="J72" s="7"/>
    </row>
    <row r="73">
      <c r="A73" s="2">
        <v>9.780367461409E12</v>
      </c>
      <c r="B73" s="2" t="s">
        <v>154</v>
      </c>
      <c r="C73" s="2" t="s">
        <v>155</v>
      </c>
      <c r="D73" s="4">
        <v>1.0</v>
      </c>
      <c r="E73" s="7">
        <f>IF(
  COUNTIFS(active!D:D, A73, active!F:F, "Processed and Borrowed") &gt; D73,
  "Error",
  COUNTIFS(active!D:D, A73, active!F:F, "Processed and Borrowed")
)
</f>
        <v>0</v>
      </c>
      <c r="F73" s="7" t="str">
        <f t="shared" si="1"/>
        <v>Available</v>
      </c>
      <c r="G73" s="9" t="str">
        <f>IFERROR(__xludf.DUMMYFUNCTION("IF(E73&gt;0, MIN(FILTER(active!H:H, (active!D:D = A73) * (active!F:F = ""Processed and Borrowed""))), """")"),"")</f>
        <v/>
      </c>
      <c r="H73" s="7"/>
      <c r="I73" s="7"/>
      <c r="J73" s="7"/>
    </row>
    <row r="74">
      <c r="A74" s="2">
        <v>9.780715654682E12</v>
      </c>
      <c r="B74" s="2" t="s">
        <v>156</v>
      </c>
      <c r="C74" s="2" t="s">
        <v>158</v>
      </c>
      <c r="D74" s="4">
        <v>1.0</v>
      </c>
      <c r="E74" s="7">
        <f>IF(
  COUNTIFS(active!D:D, A74, active!F:F, "Processed and Borrowed") &gt; D74,
  "Error",
  COUNTIFS(active!D:D, A74, active!F:F, "Processed and Borrowed")
)
</f>
        <v>0</v>
      </c>
      <c r="F74" s="7" t="str">
        <f t="shared" si="1"/>
        <v>Available</v>
      </c>
      <c r="G74" s="9" t="str">
        <f>IFERROR(__xludf.DUMMYFUNCTION("IF(E74&gt;0, MIN(FILTER(active!H:H, (active!D:D = A74) * (active!F:F = ""Processed and Borrowed""))), """")"),"")</f>
        <v/>
      </c>
      <c r="H74" s="7"/>
      <c r="I74" s="7"/>
      <c r="J74" s="7"/>
    </row>
    <row r="75">
      <c r="A75" s="2">
        <v>9.781603580557E12</v>
      </c>
      <c r="B75" s="2" t="s">
        <v>159</v>
      </c>
      <c r="C75" s="2" t="s">
        <v>160</v>
      </c>
      <c r="D75" s="4">
        <v>1.0</v>
      </c>
      <c r="E75" s="7">
        <f>IF(
  COUNTIFS(active!D:D, A75, active!F:F, "Processed and Borrowed") &gt; D75,
  "Error",
  COUNTIFS(active!D:D, A75, active!F:F, "Processed and Borrowed")
)
</f>
        <v>0</v>
      </c>
      <c r="F75" s="7" t="str">
        <f t="shared" si="1"/>
        <v>Available</v>
      </c>
      <c r="G75" s="9" t="str">
        <f>IFERROR(__xludf.DUMMYFUNCTION("IF(E75&gt;0, MIN(FILTER(active!H:H, (active!D:D = A75) * (active!F:F = ""Processed and Borrowed""))), """")"),"")</f>
        <v/>
      </c>
      <c r="H75" s="7"/>
      <c r="I75" s="7"/>
      <c r="J75" s="7"/>
    </row>
    <row r="76">
      <c r="A76" s="2">
        <v>9.780241976586E12</v>
      </c>
      <c r="B76" s="2" t="s">
        <v>161</v>
      </c>
      <c r="C76" s="2" t="s">
        <v>162</v>
      </c>
      <c r="D76" s="4">
        <v>1.0</v>
      </c>
      <c r="E76" s="7">
        <f>IF(
  COUNTIFS(active!D:D, A76, active!F:F, "Processed and Borrowed") &gt; D76,
  "Error",
  COUNTIFS(active!D:D, A76, active!F:F, "Processed and Borrowed")
)
</f>
        <v>0</v>
      </c>
      <c r="F76" s="7" t="str">
        <f t="shared" si="1"/>
        <v>Available</v>
      </c>
      <c r="G76" s="9" t="str">
        <f>IFERROR(__xludf.DUMMYFUNCTION("IF(E76&gt;0, MIN(FILTER(active!H:H, (active!D:D = A76) * (active!F:F = ""Processed and Borrowed""))), """")"),"")</f>
        <v/>
      </c>
      <c r="H76" s="7"/>
      <c r="I76" s="7"/>
      <c r="J76" s="7"/>
    </row>
    <row r="77">
      <c r="A77" s="2">
        <v>9.780140447804E12</v>
      </c>
      <c r="B77" s="2" t="s">
        <v>163</v>
      </c>
      <c r="C77" s="2" t="s">
        <v>164</v>
      </c>
      <c r="D77" s="4">
        <v>1.0</v>
      </c>
      <c r="E77" s="7">
        <f>IF(
  COUNTIFS(active!D:D, A77, active!F:F, "Processed and Borrowed") &gt; D77,
  "Error",
  COUNTIFS(active!D:D, A77, active!F:F, "Processed and Borrowed")
)
</f>
        <v>0</v>
      </c>
      <c r="F77" s="7" t="str">
        <f t="shared" si="1"/>
        <v>Available</v>
      </c>
      <c r="G77" s="9" t="str">
        <f>IFERROR(__xludf.DUMMYFUNCTION("IF(E77&gt;0, MIN(FILTER(active!H:H, (active!D:D = A77) * (active!F:F = ""Processed and Borrowed""))), """")"),"")</f>
        <v/>
      </c>
      <c r="H77" s="7"/>
      <c r="I77" s="7"/>
      <c r="J77" s="7"/>
    </row>
    <row r="78">
      <c r="A78" s="2">
        <v>9.780241484838E12</v>
      </c>
      <c r="B78" s="2" t="s">
        <v>165</v>
      </c>
      <c r="C78" s="2" t="s">
        <v>166</v>
      </c>
      <c r="D78" s="4">
        <v>1.0</v>
      </c>
      <c r="E78" s="7">
        <f>IF(
  COUNTIFS(active!D:D, A78, active!F:F, "Processed and Borrowed") &gt; D78,
  "Error",
  COUNTIFS(active!D:D, A78, active!F:F, "Processed and Borrowed")
)
</f>
        <v>0</v>
      </c>
      <c r="F78" s="7" t="str">
        <f t="shared" si="1"/>
        <v>Available</v>
      </c>
      <c r="G78" s="9" t="str">
        <f>IFERROR(__xludf.DUMMYFUNCTION("IF(E78&gt;0, MIN(FILTER(active!H:H, (active!D:D = A78) * (active!F:F = ""Processed and Borrowed""))), """")"),"")</f>
        <v/>
      </c>
      <c r="H78" s="7"/>
      <c r="I78" s="7"/>
      <c r="J78" s="7"/>
    </row>
    <row r="79">
      <c r="A79" s="2">
        <v>9.780330508902E12</v>
      </c>
      <c r="B79" s="2" t="s">
        <v>167</v>
      </c>
      <c r="C79" s="2" t="s">
        <v>168</v>
      </c>
      <c r="D79" s="4">
        <v>1.0</v>
      </c>
      <c r="E79" s="7">
        <f>IF(
  COUNTIFS(active!D:D, A79, active!F:F, "Processed and Borrowed") &gt; D79,
  "Error",
  COUNTIFS(active!D:D, A79, active!F:F, "Processed and Borrowed")
)
</f>
        <v>0</v>
      </c>
      <c r="F79" s="7" t="str">
        <f t="shared" si="1"/>
        <v>Available</v>
      </c>
      <c r="G79" s="9" t="str">
        <f>IFERROR(__xludf.DUMMYFUNCTION("IF(E79&gt;0, MIN(FILTER(active!H:H, (active!D:D = A79) * (active!F:F = ""Processed and Borrowed""))), """")"),"")</f>
        <v/>
      </c>
      <c r="H79" s="7"/>
      <c r="I79" s="7"/>
      <c r="J79" s="7"/>
    </row>
    <row r="80">
      <c r="A80" s="2">
        <v>9.780141442259E12</v>
      </c>
      <c r="B80" s="2" t="s">
        <v>169</v>
      </c>
      <c r="C80" s="2" t="s">
        <v>170</v>
      </c>
      <c r="D80" s="4">
        <v>1.0</v>
      </c>
      <c r="E80" s="7">
        <f>IF(
  COUNTIFS(active!D:D, A80, active!F:F, "Processed and Borrowed") &gt; D80,
  "Error",
  COUNTIFS(active!D:D, A80, active!F:F, "Processed and Borrowed")
)
</f>
        <v>0</v>
      </c>
      <c r="F80" s="7" t="str">
        <f t="shared" si="1"/>
        <v>Available</v>
      </c>
      <c r="G80" s="9" t="str">
        <f>IFERROR(__xludf.DUMMYFUNCTION("IF(E80&gt;0, MIN(FILTER(active!H:H, (active!D:D = A80) * (active!F:F = ""Processed and Borrowed""))), """")"),"")</f>
        <v/>
      </c>
      <c r="H80" s="7"/>
      <c r="I80" s="7"/>
      <c r="J80" s="7"/>
    </row>
    <row r="81">
      <c r="A81" s="2">
        <v>9.780743243155E12</v>
      </c>
      <c r="B81" s="2" t="s">
        <v>172</v>
      </c>
      <c r="C81" s="2" t="s">
        <v>173</v>
      </c>
      <c r="D81" s="4">
        <v>1.0</v>
      </c>
      <c r="E81" s="7">
        <f>IF(
  COUNTIFS(active!D:D, A81, active!F:F, "Processed and Borrowed") &gt; D81,
  "Error",
  COUNTIFS(active!D:D, A81, active!F:F, "Processed and Borrowed")
)
</f>
        <v>0</v>
      </c>
      <c r="F81" s="7" t="str">
        <f t="shared" si="1"/>
        <v>Available</v>
      </c>
      <c r="G81" s="9" t="str">
        <f>IFERROR(__xludf.DUMMYFUNCTION("IF(E81&gt;0, MIN(FILTER(active!H:H, (active!D:D = A81) * (active!F:F = ""Processed and Borrowed""))), """")"),"")</f>
        <v/>
      </c>
      <c r="H81" s="7"/>
      <c r="I81" s="7"/>
      <c r="J81" s="7"/>
    </row>
    <row r="82">
      <c r="A82" s="2">
        <v>9.781529060119E12</v>
      </c>
      <c r="B82" s="2" t="s">
        <v>174</v>
      </c>
      <c r="C82" s="2" t="s">
        <v>175</v>
      </c>
      <c r="D82" s="4">
        <v>1.0</v>
      </c>
      <c r="E82" s="7">
        <f>IF(
  COUNTIFS(active!D:D, A82, active!F:F, "Processed and Borrowed") &gt; D82,
  "Error",
  COUNTIFS(active!D:D, A82, active!F:F, "Processed and Borrowed")
)
</f>
        <v>0</v>
      </c>
      <c r="F82" s="7" t="str">
        <f t="shared" si="1"/>
        <v>Available</v>
      </c>
      <c r="G82" s="9" t="str">
        <f>IFERROR(__xludf.DUMMYFUNCTION("IF(E82&gt;0, MIN(FILTER(active!H:H, (active!D:D = A82) * (active!F:F = ""Processed and Borrowed""))), """")"),"")</f>
        <v/>
      </c>
      <c r="H82" s="7"/>
      <c r="I82" s="7"/>
      <c r="J82" s="7"/>
    </row>
    <row r="83">
      <c r="A83" s="2">
        <v>9.78152906001E12</v>
      </c>
      <c r="B83" s="2" t="s">
        <v>176</v>
      </c>
      <c r="C83" s="2" t="s">
        <v>175</v>
      </c>
      <c r="D83" s="4">
        <v>1.0</v>
      </c>
      <c r="E83" s="7">
        <f>IF(
  COUNTIFS(active!D:D, A83, active!F:F, "Processed and Borrowed") &gt; D83,
  "Error",
  COUNTIFS(active!D:D, A83, active!F:F, "Processed and Borrowed")
)
</f>
        <v>0</v>
      </c>
      <c r="F83" s="7" t="str">
        <f t="shared" si="1"/>
        <v>Available</v>
      </c>
      <c r="G83" s="9" t="str">
        <f>IFERROR(__xludf.DUMMYFUNCTION("IF(E83&gt;0, MIN(FILTER(active!H:H, (active!D:D = A83) * (active!F:F = ""Processed and Borrowed""))), """")"),"")</f>
        <v/>
      </c>
      <c r="H83" s="7"/>
      <c r="I83" s="7"/>
      <c r="J83" s="7"/>
    </row>
    <row r="84">
      <c r="A84" s="2">
        <v>9.781035022755E12</v>
      </c>
      <c r="B84" s="2" t="s">
        <v>177</v>
      </c>
      <c r="C84" s="2" t="s">
        <v>175</v>
      </c>
      <c r="D84" s="4">
        <v>1.0</v>
      </c>
      <c r="E84" s="7">
        <f>IF(
  COUNTIFS(active!D:D, A84, active!F:F, "Processed and Borrowed") &gt; D84,
  "Error",
  COUNTIFS(active!D:D, A84, active!F:F, "Processed and Borrowed")
)
</f>
        <v>0</v>
      </c>
      <c r="F84" s="7" t="str">
        <f t="shared" si="1"/>
        <v>Available</v>
      </c>
      <c r="G84" s="9" t="str">
        <f>IFERROR(__xludf.DUMMYFUNCTION("IF(E84&gt;0, MIN(FILTER(active!H:H, (active!D:D = A84) * (active!F:F = ""Processed and Borrowed""))), """")"),"")</f>
        <v/>
      </c>
      <c r="H84" s="7"/>
      <c r="I84" s="7"/>
      <c r="J84" s="7"/>
    </row>
    <row r="85">
      <c r="A85" s="2">
        <v>9.780340992852E12</v>
      </c>
      <c r="B85" s="2" t="s">
        <v>178</v>
      </c>
      <c r="C85" s="2" t="s">
        <v>179</v>
      </c>
      <c r="D85" s="4">
        <v>1.0</v>
      </c>
      <c r="E85" s="7">
        <f>IF(
  COUNTIFS(active!D:D, A85, active!F:F, "Processed and Borrowed") &gt; D85,
  "Error",
  COUNTIFS(active!D:D, A85, active!F:F, "Processed and Borrowed")
)
</f>
        <v>0</v>
      </c>
      <c r="F85" s="7" t="str">
        <f t="shared" si="1"/>
        <v>Available</v>
      </c>
      <c r="G85" s="9" t="str">
        <f>IFERROR(__xludf.DUMMYFUNCTION("IF(E85&gt;0, MIN(FILTER(active!H:H, (active!D:D = A85) * (active!F:F = ""Processed and Borrowed""))), """")"),"")</f>
        <v/>
      </c>
      <c r="H85" s="7"/>
      <c r="I85" s="7"/>
      <c r="J85" s="7"/>
    </row>
    <row r="86">
      <c r="A86" s="2">
        <v>9.781529342079E12</v>
      </c>
      <c r="B86" s="2" t="s">
        <v>180</v>
      </c>
      <c r="C86" s="2" t="s">
        <v>181</v>
      </c>
      <c r="D86" s="4">
        <v>1.0</v>
      </c>
      <c r="E86" s="7">
        <f>IF(
  COUNTIFS(active!D:D, A86, active!F:F, "Processed and Borrowed") &gt; D86,
  "Error",
  COUNTIFS(active!D:D, A86, active!F:F, "Processed and Borrowed")
)
</f>
        <v>0</v>
      </c>
      <c r="F86" s="7" t="str">
        <f t="shared" si="1"/>
        <v>Available</v>
      </c>
      <c r="G86" s="9" t="str">
        <f>IFERROR(__xludf.DUMMYFUNCTION("IF(E86&gt;0, MIN(FILTER(active!H:H, (active!D:D = A86) * (active!F:F = ""Processed and Borrowed""))), """")"),"")</f>
        <v/>
      </c>
      <c r="H86" s="7"/>
      <c r="I86" s="7"/>
      <c r="J86" s="7"/>
    </row>
    <row r="87">
      <c r="A87" s="2">
        <v>9.781784161446E12</v>
      </c>
      <c r="B87" s="2" t="s">
        <v>182</v>
      </c>
      <c r="C87" s="2" t="s">
        <v>183</v>
      </c>
      <c r="D87" s="4">
        <v>1.0</v>
      </c>
      <c r="E87" s="7">
        <f>IF(
  COUNTIFS(active!D:D, A87, active!F:F, "Processed and Borrowed") &gt; D87,
  "Error",
  COUNTIFS(active!D:D, A87, active!F:F, "Processed and Borrowed")
)
</f>
        <v>0</v>
      </c>
      <c r="F87" s="7" t="str">
        <f t="shared" si="1"/>
        <v>Available</v>
      </c>
      <c r="G87" s="9" t="str">
        <f>IFERROR(__xludf.DUMMYFUNCTION("IF(E87&gt;0, MIN(FILTER(active!H:H, (active!D:D = A87) * (active!F:F = ""Processed and Borrowed""))), """")"),"")</f>
        <v/>
      </c>
      <c r="H87" s="7"/>
      <c r="I87" s="7"/>
      <c r="J87" s="7"/>
    </row>
    <row r="88">
      <c r="A88" s="2">
        <v>9.780552779913E12</v>
      </c>
      <c r="B88" s="2" t="s">
        <v>184</v>
      </c>
      <c r="C88" s="2" t="s">
        <v>183</v>
      </c>
      <c r="D88" s="4">
        <v>1.0</v>
      </c>
      <c r="E88" s="7">
        <f>IF(
  COUNTIFS(active!D:D, A88, active!F:F, "Processed and Borrowed") &gt; D88,
  "Error",
  COUNTIFS(active!D:D, A88, active!F:F, "Processed and Borrowed")
)
</f>
        <v>0</v>
      </c>
      <c r="F88" s="7" t="str">
        <f t="shared" si="1"/>
        <v>Available</v>
      </c>
      <c r="G88" s="9" t="str">
        <f>IFERROR(__xludf.DUMMYFUNCTION("IF(E88&gt;0, MIN(FILTER(active!H:H, (active!D:D = A88) * (active!F:F = ""Processed and Borrowed""))), """")"),"")</f>
        <v/>
      </c>
      <c r="H88" s="7"/>
      <c r="I88" s="7"/>
      <c r="J88" s="7"/>
    </row>
    <row r="89">
      <c r="A89" s="2">
        <v>9.781911641827E12</v>
      </c>
      <c r="B89" s="2" t="s">
        <v>185</v>
      </c>
      <c r="C89" s="2" t="s">
        <v>186</v>
      </c>
      <c r="D89" s="4">
        <v>1.0</v>
      </c>
      <c r="E89" s="7">
        <f>IF(
  COUNTIFS(active!D:D, A89, active!F:F, "Processed and Borrowed") &gt; D89,
  "Error",
  COUNTIFS(active!D:D, A89, active!F:F, "Processed and Borrowed")
)
</f>
        <v>0</v>
      </c>
      <c r="F89" s="7" t="str">
        <f t="shared" si="1"/>
        <v>Available</v>
      </c>
      <c r="G89" s="9" t="str">
        <f>IFERROR(__xludf.DUMMYFUNCTION("IF(E89&gt;0, MIN(FILTER(active!H:H, (active!D:D = A89) * (active!F:F = ""Processed and Borrowed""))), """")"),"")</f>
        <v/>
      </c>
      <c r="H89" s="7"/>
      <c r="I89" s="7"/>
      <c r="J89" s="7"/>
    </row>
    <row r="90">
      <c r="A90" s="2">
        <v>9.781784872113E12</v>
      </c>
      <c r="B90" s="2" t="s">
        <v>187</v>
      </c>
      <c r="C90" s="2" t="s">
        <v>188</v>
      </c>
      <c r="D90" s="4">
        <v>1.0</v>
      </c>
      <c r="E90" s="7">
        <f>IF(
  COUNTIFS(active!D:D, A90, active!F:F, "Processed and Borrowed") &gt; D90,
  "Error",
  COUNTIFS(active!D:D, A90, active!F:F, "Processed and Borrowed")
)
</f>
        <v>0</v>
      </c>
      <c r="F90" s="7" t="str">
        <f t="shared" si="1"/>
        <v>Available</v>
      </c>
      <c r="G90" s="9" t="str">
        <f>IFERROR(__xludf.DUMMYFUNCTION("IF(E90&gt;0, MIN(FILTER(active!H:H, (active!D:D = A90) * (active!F:F = ""Processed and Borrowed""))), """")"),"")</f>
        <v/>
      </c>
      <c r="H90" s="7"/>
      <c r="I90" s="7"/>
      <c r="J90" s="7"/>
    </row>
    <row r="91">
      <c r="A91" s="2">
        <v>9.780007183517E12</v>
      </c>
      <c r="B91" s="2" t="s">
        <v>189</v>
      </c>
      <c r="C91" s="2" t="s">
        <v>190</v>
      </c>
      <c r="D91" s="4">
        <v>1.0</v>
      </c>
      <c r="E91" s="7">
        <f>IF(
  COUNTIFS(active!D:D, A91, active!F:F, "Processed and Borrowed") &gt; D91,
  "Error",
  COUNTIFS(active!D:D, A91, active!F:F, "Processed and Borrowed")
)
</f>
        <v>0</v>
      </c>
      <c r="F91" s="7" t="str">
        <f t="shared" si="1"/>
        <v>Available</v>
      </c>
      <c r="G91" s="9" t="str">
        <f>IFERROR(__xludf.DUMMYFUNCTION("IF(E91&gt;0, MIN(FILTER(active!H:H, (active!D:D = A91) * (active!F:F = ""Processed and Borrowed""))), """")"),"")</f>
        <v/>
      </c>
      <c r="H91" s="7"/>
      <c r="I91" s="7"/>
      <c r="J91" s="7"/>
    </row>
    <row r="92">
      <c r="A92" s="2">
        <v>9.781778401657E12</v>
      </c>
      <c r="B92" s="2" t="s">
        <v>191</v>
      </c>
      <c r="C92" s="2" t="s">
        <v>192</v>
      </c>
      <c r="D92" s="4">
        <v>1.0</v>
      </c>
      <c r="E92" s="7">
        <f>IF(
  COUNTIFS(active!D:D, A92, active!F:F, "Processed and Borrowed") &gt; D92,
  "Error",
  COUNTIFS(active!D:D, A92, active!F:F, "Processed and Borrowed")
)
</f>
        <v>0</v>
      </c>
      <c r="F92" s="7" t="str">
        <f t="shared" si="1"/>
        <v>Available</v>
      </c>
      <c r="G92" s="9" t="str">
        <f>IFERROR(__xludf.DUMMYFUNCTION("IF(E92&gt;0, MIN(FILTER(active!H:H, (active!D:D = A92) * (active!F:F = ""Processed and Borrowed""))), """")"),"")</f>
        <v/>
      </c>
      <c r="H92" s="7"/>
      <c r="I92" s="7"/>
      <c r="J92" s="7"/>
    </row>
    <row r="93">
      <c r="A93" s="2">
        <v>9.780872206274E12</v>
      </c>
      <c r="B93" s="2" t="s">
        <v>193</v>
      </c>
      <c r="C93" s="2" t="s">
        <v>194</v>
      </c>
      <c r="D93" s="4">
        <v>1.0</v>
      </c>
      <c r="E93" s="7">
        <f>IF(
  COUNTIFS(active!D:D, A93, active!F:F, "Processed and Borrowed") &gt; D93,
  "Error",
  COUNTIFS(active!D:D, A93, active!F:F, "Processed and Borrowed")
)
</f>
        <v>0</v>
      </c>
      <c r="F93" s="7" t="str">
        <f t="shared" si="1"/>
        <v>Available</v>
      </c>
      <c r="G93" s="9" t="str">
        <f>IFERROR(__xludf.DUMMYFUNCTION("IF(E93&gt;0, MIN(FILTER(active!H:H, (active!D:D = A93) * (active!F:F = ""Processed and Borrowed""))), """")"),"")</f>
        <v/>
      </c>
      <c r="H93" s="7"/>
      <c r="I93" s="7"/>
      <c r="J93" s="7"/>
    </row>
    <row r="94">
      <c r="A94" s="2">
        <v>9.781544512273E12</v>
      </c>
      <c r="B94" s="2" t="s">
        <v>195</v>
      </c>
      <c r="C94" s="2" t="s">
        <v>196</v>
      </c>
      <c r="D94" s="4">
        <v>1.0</v>
      </c>
      <c r="E94" s="7">
        <f>IF(
  COUNTIFS(active!D:D, A94, active!F:F, "Processed and Borrowed") &gt; D94,
  "Error",
  COUNTIFS(active!D:D, A94, active!F:F, "Processed and Borrowed")
)
</f>
        <v>0</v>
      </c>
      <c r="F94" s="7" t="str">
        <f t="shared" si="1"/>
        <v>Available</v>
      </c>
      <c r="G94" s="9" t="str">
        <f>IFERROR(__xludf.DUMMYFUNCTION("IF(E94&gt;0, MIN(FILTER(active!H:H, (active!D:D = A94) * (active!F:F = ""Processed and Borrowed""))), """")"),"")</f>
        <v/>
      </c>
      <c r="H94" s="7"/>
      <c r="I94" s="7"/>
      <c r="J94" s="7"/>
    </row>
    <row r="95">
      <c r="A95" s="2">
        <v>9.780674979857E12</v>
      </c>
      <c r="B95" s="2" t="s">
        <v>197</v>
      </c>
      <c r="C95" s="2" t="s">
        <v>198</v>
      </c>
      <c r="D95" s="4">
        <v>1.0</v>
      </c>
      <c r="E95" s="7">
        <f>IF(
  COUNTIFS(active!D:D, A95, active!F:F, "Processed and Borrowed") &gt; D95,
  "Error",
  COUNTIFS(active!D:D, A95, active!F:F, "Processed and Borrowed")
)
</f>
        <v>0</v>
      </c>
      <c r="F95" s="7" t="str">
        <f t="shared" si="1"/>
        <v>Available</v>
      </c>
      <c r="G95" s="9" t="str">
        <f>IFERROR(__xludf.DUMMYFUNCTION("IF(E95&gt;0, MIN(FILTER(active!H:H, (active!D:D = A95) * (active!F:F = ""Processed and Borrowed""))), """")"),"")</f>
        <v/>
      </c>
      <c r="H95" s="7"/>
      <c r="I95" s="7"/>
      <c r="J95" s="7"/>
    </row>
    <row r="96">
      <c r="A96" s="2">
        <v>9.78022645812E12</v>
      </c>
      <c r="B96" s="2" t="s">
        <v>199</v>
      </c>
      <c r="C96" s="2" t="s">
        <v>200</v>
      </c>
      <c r="D96" s="4">
        <v>1.0</v>
      </c>
      <c r="E96" s="7">
        <f>IF(
  COUNTIFS(active!D:D, A96, active!F:F, "Processed and Borrowed") &gt; D96,
  "Error",
  COUNTIFS(active!D:D, A96, active!F:F, "Processed and Borrowed")
)
</f>
        <v>0</v>
      </c>
      <c r="F96" s="7" t="str">
        <f t="shared" si="1"/>
        <v>Available</v>
      </c>
      <c r="G96" s="9" t="str">
        <f>IFERROR(__xludf.DUMMYFUNCTION("IF(E96&gt;0, MIN(FILTER(active!H:H, (active!D:D = A96) * (active!F:F = ""Processed and Borrowed""))), """")"),"")</f>
        <v/>
      </c>
      <c r="H96" s="7"/>
      <c r="I96" s="7"/>
      <c r="J96" s="7"/>
    </row>
    <row r="97">
      <c r="A97" s="2">
        <v>9.781786892737E12</v>
      </c>
      <c r="B97" s="2" t="s">
        <v>201</v>
      </c>
      <c r="C97" s="2" t="s">
        <v>202</v>
      </c>
      <c r="D97" s="4">
        <v>1.0</v>
      </c>
      <c r="E97" s="7">
        <f>IF(
  COUNTIFS(active!D:D, A97, active!F:F, "Processed and Borrowed") &gt; D97,
  "Error",
  COUNTIFS(active!D:D, A97, active!F:F, "Processed and Borrowed")
)
</f>
        <v>0</v>
      </c>
      <c r="F97" s="7" t="str">
        <f t="shared" si="1"/>
        <v>Available</v>
      </c>
      <c r="G97" s="9" t="str">
        <f>IFERROR(__xludf.DUMMYFUNCTION("IF(E97&gt;0, MIN(FILTER(active!H:H, (active!D:D = A97) * (active!F:F = ""Processed and Borrowed""))), """")"),"")</f>
        <v/>
      </c>
      <c r="H97" s="7"/>
      <c r="I97" s="7"/>
      <c r="J97" s="7"/>
    </row>
    <row r="98">
      <c r="A98" s="2">
        <v>9.780974320625E12</v>
      </c>
      <c r="B98" s="2" t="s">
        <v>203</v>
      </c>
      <c r="C98" s="2" t="s">
        <v>204</v>
      </c>
      <c r="D98" s="4">
        <v>1.0</v>
      </c>
      <c r="E98" s="7">
        <f>IF(
  COUNTIFS(active!D:D, A98, active!F:F, "Processed and Borrowed") &gt; D98,
  "Error",
  COUNTIFS(active!D:D, A98, active!F:F, "Processed and Borrowed")
)
</f>
        <v>0</v>
      </c>
      <c r="F98" s="7" t="str">
        <f t="shared" si="1"/>
        <v>Available</v>
      </c>
      <c r="G98" s="9" t="str">
        <f>IFERROR(__xludf.DUMMYFUNCTION("IF(E98&gt;0, MIN(FILTER(active!H:H, (active!D:D = A98) * (active!F:F = ""Processed and Borrowed""))), """")"),"")</f>
        <v/>
      </c>
      <c r="H98" s="7"/>
      <c r="I98" s="7"/>
      <c r="J98" s="7"/>
    </row>
    <row r="99">
      <c r="A99" s="2">
        <v>9.781401952471E12</v>
      </c>
      <c r="B99" s="2" t="s">
        <v>205</v>
      </c>
      <c r="C99" s="2" t="s">
        <v>206</v>
      </c>
      <c r="D99" s="4">
        <v>1.0</v>
      </c>
      <c r="E99" s="7">
        <f>IF(
  COUNTIFS(active!D:D, A99, active!F:F, "Processed and Borrowed") &gt; D99,
  "Error",
  COUNTIFS(active!D:D, A99, active!F:F, "Processed and Borrowed")
)
</f>
        <v>0</v>
      </c>
      <c r="F99" s="7" t="str">
        <f t="shared" si="1"/>
        <v>Available</v>
      </c>
      <c r="G99" s="9" t="str">
        <f>IFERROR(__xludf.DUMMYFUNCTION("IF(E99&gt;0, MIN(FILTER(active!H:H, (active!D:D = A99) * (active!F:F = ""Processed and Borrowed""))), """")"),"")</f>
        <v/>
      </c>
      <c r="H99" s="7"/>
      <c r="I99" s="7"/>
      <c r="J99" s="7"/>
    </row>
    <row r="100">
      <c r="A100" s="2">
        <v>9.781625274496E12</v>
      </c>
      <c r="B100" s="2" t="s">
        <v>207</v>
      </c>
      <c r="C100" s="2" t="s">
        <v>208</v>
      </c>
      <c r="D100" s="4">
        <v>1.0</v>
      </c>
      <c r="E100" s="7">
        <f>IF(
  COUNTIFS(active!D:D, A100, active!F:F, "Processed and Borrowed") &gt; D100,
  "Error",
  COUNTIFS(active!D:D, A100, active!F:F, "Processed and Borrowed")
)
</f>
        <v>0</v>
      </c>
      <c r="F100" s="7" t="str">
        <f t="shared" si="1"/>
        <v>Available</v>
      </c>
      <c r="G100" s="9" t="str">
        <f>IFERROR(__xludf.DUMMYFUNCTION("IF(E100&gt;0, MIN(FILTER(active!H:H, (active!D:D = A100) * (active!F:F = ""Processed and Borrowed""))), """")"),"")</f>
        <v/>
      </c>
      <c r="H100" s="7"/>
      <c r="I100" s="7"/>
      <c r="J100" s="7"/>
    </row>
    <row r="101">
      <c r="A101" s="2">
        <v>9.781260474183E12</v>
      </c>
      <c r="B101" s="2" t="s">
        <v>209</v>
      </c>
      <c r="C101" s="2" t="s">
        <v>210</v>
      </c>
      <c r="D101" s="4">
        <v>1.0</v>
      </c>
      <c r="E101" s="7">
        <f>IF(
  COUNTIFS(active!D:D, A101, active!F:F, "Processed and Borrowed") &gt; D101,
  "Error",
  COUNTIFS(active!D:D, A101, active!F:F, "Processed and Borrowed")
)
</f>
        <v>0</v>
      </c>
      <c r="F101" s="7" t="str">
        <f t="shared" si="1"/>
        <v>Available</v>
      </c>
      <c r="G101" s="9" t="str">
        <f>IFERROR(__xludf.DUMMYFUNCTION("IF(E101&gt;0, MIN(FILTER(active!H:H, (active!D:D = A101) * (active!F:F = ""Processed and Borrowed""))), """")"),"")</f>
        <v/>
      </c>
      <c r="H101" s="7"/>
      <c r="I101" s="7"/>
      <c r="J101" s="7"/>
    </row>
    <row r="102">
      <c r="A102" s="2">
        <v>9.780747585664E12</v>
      </c>
      <c r="B102" s="2" t="s">
        <v>211</v>
      </c>
      <c r="C102" s="2" t="s">
        <v>212</v>
      </c>
      <c r="D102" s="4">
        <v>1.0</v>
      </c>
      <c r="E102" s="7">
        <f>IF(
  COUNTIFS(active!D:D, A102, active!F:F, "Processed and Borrowed") &gt; D102,
  "Error",
  COUNTIFS(active!D:D, A102, active!F:F, "Processed and Borrowed")
)
</f>
        <v>0</v>
      </c>
      <c r="F102" s="7" t="str">
        <f t="shared" si="1"/>
        <v>Available</v>
      </c>
      <c r="G102" s="9" t="str">
        <f>IFERROR(__xludf.DUMMYFUNCTION("IF(E102&gt;0, MIN(FILTER(active!H:H, (active!D:D = A102) * (active!F:F = ""Processed and Borrowed""))), """")"),"")</f>
        <v/>
      </c>
      <c r="H102" s="7"/>
      <c r="I102" s="7"/>
      <c r="J102" s="7"/>
    </row>
    <row r="103">
      <c r="A103" s="2">
        <v>9.781782112464E12</v>
      </c>
      <c r="B103" s="2" t="s">
        <v>213</v>
      </c>
      <c r="C103" s="2" t="s">
        <v>214</v>
      </c>
      <c r="D103" s="4">
        <v>1.0</v>
      </c>
      <c r="E103" s="7">
        <f>IF(
  COUNTIFS(active!D:D, A103, active!F:F, "Processed and Borrowed") &gt; D103,
  "Error",
  COUNTIFS(active!D:D, A103, active!F:F, "Processed and Borrowed")
)
</f>
        <v>0</v>
      </c>
      <c r="F103" s="7" t="str">
        <f t="shared" si="1"/>
        <v>Available</v>
      </c>
      <c r="G103" s="9" t="str">
        <f>IFERROR(__xludf.DUMMYFUNCTION("IF(E103&gt;0, MIN(FILTER(active!H:H, (active!D:D = A103) * (active!F:F = ""Processed and Borrowed""))), """")"),"")</f>
        <v/>
      </c>
      <c r="H103" s="7"/>
      <c r="I103" s="7"/>
      <c r="J103" s="7"/>
    </row>
    <row r="104">
      <c r="A104" s="2">
        <v>9.781917349055E12</v>
      </c>
      <c r="B104" s="2" t="s">
        <v>215</v>
      </c>
      <c r="C104" s="2" t="s">
        <v>216</v>
      </c>
      <c r="D104" s="4">
        <v>1.0</v>
      </c>
      <c r="E104" s="7">
        <f>IF(
  COUNTIFS(active!D:D, A104, active!F:F, "Processed and Borrowed") &gt; D104,
  "Error",
  COUNTIFS(active!D:D, A104, active!F:F, "Processed and Borrowed")
)
</f>
        <v>0</v>
      </c>
      <c r="F104" s="7" t="str">
        <f t="shared" si="1"/>
        <v>Available</v>
      </c>
      <c r="G104" s="9" t="str">
        <f>IFERROR(__xludf.DUMMYFUNCTION("IF(E104&gt;0, MIN(FILTER(active!H:H, (active!D:D = A104) * (active!F:F = ""Processed and Borrowed""))), """")"),"")</f>
        <v/>
      </c>
      <c r="H104" s="7"/>
      <c r="I104" s="7"/>
      <c r="J104" s="7"/>
    </row>
    <row r="105">
      <c r="A105" s="2">
        <v>9.781915396631E12</v>
      </c>
      <c r="B105" s="2" t="s">
        <v>217</v>
      </c>
      <c r="C105" s="2" t="s">
        <v>130</v>
      </c>
      <c r="D105" s="4">
        <v>1.0</v>
      </c>
      <c r="E105" s="7">
        <f>IF(
  COUNTIFS(active!D:D, A105, active!F:F, "Processed and Borrowed") &gt; D105,
  "Error",
  COUNTIFS(active!D:D, A105, active!F:F, "Processed and Borrowed")
)
</f>
        <v>0</v>
      </c>
      <c r="F105" s="7" t="str">
        <f t="shared" si="1"/>
        <v>Available</v>
      </c>
      <c r="G105" s="9" t="str">
        <f>IFERROR(__xludf.DUMMYFUNCTION("IF(E105&gt;0, MIN(FILTER(active!H:H, (active!D:D = A105) * (active!F:F = ""Processed and Borrowed""))), """")"),"")</f>
        <v/>
      </c>
      <c r="H105" s="7"/>
      <c r="I105" s="7"/>
      <c r="J105" s="7"/>
    </row>
    <row r="106">
      <c r="A106" s="2">
        <v>9.78187842431E12</v>
      </c>
      <c r="B106" s="2" t="s">
        <v>218</v>
      </c>
      <c r="C106" s="2" t="s">
        <v>219</v>
      </c>
      <c r="D106" s="4">
        <v>1.0</v>
      </c>
      <c r="E106" s="7">
        <f>IF(
  COUNTIFS(active!D:D, A106, active!F:F, "Processed and Borrowed") &gt; D106,
  "Error",
  COUNTIFS(active!D:D, A106, active!F:F, "Processed and Borrowed")
)
</f>
        <v>0</v>
      </c>
      <c r="F106" s="7" t="str">
        <f t="shared" si="1"/>
        <v>Available</v>
      </c>
      <c r="G106" s="9" t="str">
        <f>IFERROR(__xludf.DUMMYFUNCTION("IF(E106&gt;0, MIN(FILTER(active!H:H, (active!D:D = A106) * (active!F:F = ""Processed and Borrowed""))), """")"),"")</f>
        <v/>
      </c>
      <c r="H106" s="7"/>
      <c r="I106" s="7"/>
      <c r="J106" s="7"/>
    </row>
    <row r="107">
      <c r="A107" s="2">
        <v>9.781838959548E12</v>
      </c>
      <c r="B107" s="2" t="s">
        <v>220</v>
      </c>
      <c r="C107" s="2" t="s">
        <v>221</v>
      </c>
      <c r="D107" s="4">
        <v>1.0</v>
      </c>
      <c r="E107" s="7">
        <f>IF(
  COUNTIFS(active!D:D, A107, active!F:F, "Processed and Borrowed") &gt; D107,
  "Error",
  COUNTIFS(active!D:D, A107, active!F:F, "Processed and Borrowed")
)
</f>
        <v>0</v>
      </c>
      <c r="F107" s="7" t="str">
        <f t="shared" si="1"/>
        <v>Available</v>
      </c>
      <c r="G107" s="9" t="str">
        <f>IFERROR(__xludf.DUMMYFUNCTION("IF(E107&gt;0, MIN(FILTER(active!H:H, (active!D:D = A107) * (active!F:F = ""Processed and Borrowed""))), """")"),"")</f>
        <v/>
      </c>
      <c r="H107" s="7"/>
      <c r="I107" s="7"/>
      <c r="J107" s="7"/>
    </row>
    <row r="108">
      <c r="A108" s="2">
        <v>9.781917349017E12</v>
      </c>
      <c r="B108" s="2" t="s">
        <v>222</v>
      </c>
      <c r="C108" s="2" t="s">
        <v>223</v>
      </c>
      <c r="D108" s="4">
        <v>1.0</v>
      </c>
      <c r="E108" s="7">
        <f>IF(
  COUNTIFS(active!D:D, A108, active!F:F, "Processed and Borrowed") &gt; D108,
  "Error",
  COUNTIFS(active!D:D, A108, active!F:F, "Processed and Borrowed")
)
</f>
        <v>0</v>
      </c>
      <c r="F108" s="7" t="str">
        <f t="shared" si="1"/>
        <v>Available</v>
      </c>
      <c r="G108" s="9" t="str">
        <f>IFERROR(__xludf.DUMMYFUNCTION("IF(E108&gt;0, MIN(FILTER(active!H:H, (active!D:D = A108) * (active!F:F = ""Processed and Borrowed""))), """")"),"")</f>
        <v/>
      </c>
      <c r="H108" s="7"/>
      <c r="I108" s="7"/>
      <c r="J108" s="7"/>
    </row>
    <row r="109">
      <c r="A109" s="2">
        <v>9.781408830956E12</v>
      </c>
      <c r="B109" s="2" t="s">
        <v>224</v>
      </c>
      <c r="C109" s="2" t="s">
        <v>225</v>
      </c>
      <c r="D109" s="4">
        <v>1.0</v>
      </c>
      <c r="E109" s="7">
        <f>IF(
  COUNTIFS(active!D:D, A109, active!F:F, "Processed and Borrowed") &gt; D109,
  "Error",
  COUNTIFS(active!D:D, A109, active!F:F, "Processed and Borrowed")
)
</f>
        <v>0</v>
      </c>
      <c r="F109" s="7" t="str">
        <f t="shared" si="1"/>
        <v>Available</v>
      </c>
      <c r="G109" s="9" t="str">
        <f>IFERROR(__xludf.DUMMYFUNCTION("IF(E109&gt;0, MIN(FILTER(active!H:H, (active!D:D = A109) * (active!F:F = ""Processed and Borrowed""))), """")"),"")</f>
        <v/>
      </c>
      <c r="H109" s="7"/>
      <c r="I109" s="7"/>
      <c r="J109" s="7"/>
    </row>
    <row r="110">
      <c r="A110" s="2">
        <v>9.784805314647E12</v>
      </c>
      <c r="B110" s="2" t="s">
        <v>226</v>
      </c>
      <c r="C110" s="2" t="s">
        <v>227</v>
      </c>
      <c r="D110" s="4">
        <v>1.0</v>
      </c>
      <c r="E110" s="7">
        <f>IF(
  COUNTIFS(active!D:D, A110, active!F:F, "Processed and Borrowed") &gt; D110,
  "Error",
  COUNTIFS(active!D:D, A110, active!F:F, "Processed and Borrowed")
)
</f>
        <v>0</v>
      </c>
      <c r="F110" s="7" t="str">
        <f t="shared" si="1"/>
        <v>Available</v>
      </c>
      <c r="G110" s="9" t="str">
        <f>IFERROR(__xludf.DUMMYFUNCTION("IF(E110&gt;0, MIN(FILTER(active!H:H, (active!D:D = A110) * (active!F:F = ""Processed and Borrowed""))), """")"),"")</f>
        <v/>
      </c>
      <c r="H110" s="7"/>
      <c r="I110" s="7"/>
      <c r="J110" s="7"/>
    </row>
    <row r="111">
      <c r="A111" s="2">
        <v>9.780747578888E12</v>
      </c>
      <c r="B111" s="2" t="s">
        <v>228</v>
      </c>
      <c r="C111" s="2" t="s">
        <v>229</v>
      </c>
      <c r="D111" s="4">
        <v>1.0</v>
      </c>
      <c r="E111" s="7">
        <f>IF(
  COUNTIFS(active!D:D, A111, active!F:F, "Processed and Borrowed") &gt; D111,
  "Error",
  COUNTIFS(active!D:D, A111, active!F:F, "Processed and Borrowed")
)
</f>
        <v>0</v>
      </c>
      <c r="F111" s="7" t="str">
        <f t="shared" si="1"/>
        <v>Available</v>
      </c>
      <c r="G111" s="9" t="str">
        <f>IFERROR(__xludf.DUMMYFUNCTION("IF(E111&gt;0, MIN(FILTER(active!H:H, (active!D:D = A111) * (active!F:F = ""Processed and Borrowed""))), """")"),"")</f>
        <v/>
      </c>
      <c r="H111" s="7"/>
      <c r="I111" s="7"/>
      <c r="J111" s="7"/>
    </row>
    <row r="112">
      <c r="A112" s="2">
        <v>9.780099532811E12</v>
      </c>
      <c r="B112" s="2" t="s">
        <v>230</v>
      </c>
      <c r="C112" s="2" t="s">
        <v>231</v>
      </c>
      <c r="D112" s="4">
        <v>1.0</v>
      </c>
      <c r="E112" s="7">
        <f>IF(
  COUNTIFS(active!D:D, A112, active!F:F, "Processed and Borrowed") &gt; D112,
  "Error",
  COUNTIFS(active!D:D, A112, active!F:F, "Processed and Borrowed")
)
</f>
        <v>0</v>
      </c>
      <c r="F112" s="7" t="str">
        <f t="shared" si="1"/>
        <v>Available</v>
      </c>
      <c r="G112" s="9" t="str">
        <f>IFERROR(__xludf.DUMMYFUNCTION("IF(E112&gt;0, MIN(FILTER(active!H:H, (active!D:D = A112) * (active!F:F = ""Processed and Borrowed""))), """")"),"")</f>
        <v/>
      </c>
      <c r="H112" s="7"/>
      <c r="I112" s="7"/>
      <c r="J112" s="7"/>
    </row>
    <row r="113">
      <c r="A113" s="2">
        <v>9.780571340675E12</v>
      </c>
      <c r="B113" s="2" t="s">
        <v>232</v>
      </c>
      <c r="C113" s="2" t="s">
        <v>233</v>
      </c>
      <c r="D113" s="4">
        <v>1.0</v>
      </c>
      <c r="E113" s="7">
        <f>IF(
  COUNTIFS(active!D:D, A113, active!F:F, "Processed and Borrowed") &gt; D113,
  "Error",
  COUNTIFS(active!D:D, A113, active!F:F, "Processed and Borrowed")
)
</f>
        <v>0</v>
      </c>
      <c r="F113" s="7" t="str">
        <f t="shared" si="1"/>
        <v>Available</v>
      </c>
      <c r="G113" s="9" t="str">
        <f>IFERROR(__xludf.DUMMYFUNCTION("IF(E113&gt;0, MIN(FILTER(active!H:H, (active!D:D = A113) * (active!F:F = ""Processed and Borrowed""))), """")"),"")</f>
        <v/>
      </c>
      <c r="H113" s="7"/>
      <c r="I113" s="7"/>
      <c r="J113" s="7"/>
    </row>
    <row r="114">
      <c r="A114" s="2">
        <v>9.781848313477E12</v>
      </c>
      <c r="B114" s="2" t="s">
        <v>234</v>
      </c>
      <c r="C114" s="2" t="s">
        <v>235</v>
      </c>
      <c r="D114" s="4">
        <v>1.0</v>
      </c>
      <c r="E114" s="7">
        <f>IF(
  COUNTIFS(active!D:D, A114, active!F:F, "Processed and Borrowed") &gt; D114,
  "Error",
  COUNTIFS(active!D:D, A114, active!F:F, "Processed and Borrowed")
)
</f>
        <v>0</v>
      </c>
      <c r="F114" s="7" t="str">
        <f t="shared" si="1"/>
        <v>Available</v>
      </c>
      <c r="G114" s="9" t="str">
        <f>IFERROR(__xludf.DUMMYFUNCTION("IF(E114&gt;0, MIN(FILTER(active!H:H, (active!D:D = A114) * (active!F:F = ""Processed and Borrowed""))), """")"),"")</f>
        <v/>
      </c>
      <c r="H114" s="7"/>
      <c r="I114" s="7"/>
      <c r="J114" s="7"/>
    </row>
    <row r="115">
      <c r="A115" s="2">
        <v>9.780571229116E12</v>
      </c>
      <c r="B115" s="2" t="s">
        <v>236</v>
      </c>
      <c r="C115" s="2" t="s">
        <v>237</v>
      </c>
      <c r="D115" s="4">
        <v>1.0</v>
      </c>
      <c r="E115" s="7">
        <f>IF(
  COUNTIFS(active!D:D, A115, active!F:F, "Processed and Borrowed") &gt; D115,
  "Error",
  COUNTIFS(active!D:D, A115, active!F:F, "Processed and Borrowed")
)
</f>
        <v>0</v>
      </c>
      <c r="F115" s="7" t="str">
        <f t="shared" si="1"/>
        <v>Available</v>
      </c>
      <c r="G115" s="9" t="str">
        <f>IFERROR(__xludf.DUMMYFUNCTION("IF(E115&gt;0, MIN(FILTER(active!H:H, (active!D:D = A115) * (active!F:F = ""Processed and Borrowed""))), """")"),"")</f>
        <v/>
      </c>
      <c r="H115" s="7"/>
      <c r="I115" s="7"/>
      <c r="J115" s="7"/>
    </row>
    <row r="116">
      <c r="A116" s="2">
        <v>9.780141036144E12</v>
      </c>
      <c r="B116" s="2" t="s">
        <v>238</v>
      </c>
      <c r="C116" s="2" t="s">
        <v>239</v>
      </c>
      <c r="D116" s="4">
        <v>1.0</v>
      </c>
      <c r="E116" s="7">
        <f>IF(
  COUNTIFS(active!D:D, A116, active!F:F, "Processed and Borrowed") &gt; D116,
  "Error",
  COUNTIFS(active!D:D, A116, active!F:F, "Processed and Borrowed")
)
</f>
        <v>0</v>
      </c>
      <c r="F116" s="7" t="str">
        <f t="shared" si="1"/>
        <v>Available</v>
      </c>
      <c r="G116" s="9" t="str">
        <f>IFERROR(__xludf.DUMMYFUNCTION("IF(E116&gt;0, MIN(FILTER(active!H:H, (active!D:D = A116) * (active!F:F = ""Processed and Borrowed""))), """")"),"")</f>
        <v/>
      </c>
      <c r="H116" s="7"/>
      <c r="I116" s="7"/>
      <c r="J116" s="7"/>
    </row>
    <row r="117">
      <c r="A117" s="2">
        <v>9.780141190273E12</v>
      </c>
      <c r="B117" s="2" t="s">
        <v>240</v>
      </c>
      <c r="C117" s="2" t="s">
        <v>241</v>
      </c>
      <c r="D117" s="4">
        <v>1.0</v>
      </c>
      <c r="E117" s="7">
        <f>IF(
  COUNTIFS(active!D:D, A117, active!F:F, "Processed and Borrowed") &gt; D117,
  "Error",
  COUNTIFS(active!D:D, A117, active!F:F, "Processed and Borrowed")
)
</f>
        <v>0</v>
      </c>
      <c r="F117" s="7" t="str">
        <f t="shared" si="1"/>
        <v>Available</v>
      </c>
      <c r="G117" s="9" t="str">
        <f>IFERROR(__xludf.DUMMYFUNCTION("IF(E117&gt;0, MIN(FILTER(active!H:H, (active!D:D = A117) * (active!F:F = ""Processed and Borrowed""))), """")"),"")</f>
        <v/>
      </c>
      <c r="H117" s="7"/>
      <c r="I117" s="7"/>
      <c r="J117" s="7"/>
    </row>
    <row r="118">
      <c r="A118" s="2">
        <v>9.781035006779E12</v>
      </c>
      <c r="B118" s="2" t="s">
        <v>242</v>
      </c>
      <c r="C118" s="2" t="s">
        <v>243</v>
      </c>
      <c r="D118" s="4">
        <v>1.0</v>
      </c>
      <c r="E118" s="7">
        <f>IF(
  COUNTIFS(active!D:D, A118, active!F:F, "Processed and Borrowed") &gt; D118,
  "Error",
  COUNTIFS(active!D:D, A118, active!F:F, "Processed and Borrowed")
)
</f>
        <v>0</v>
      </c>
      <c r="F118" s="7" t="str">
        <f t="shared" si="1"/>
        <v>Available</v>
      </c>
      <c r="G118" s="9" t="str">
        <f>IFERROR(__xludf.DUMMYFUNCTION("IF(E118&gt;0, MIN(FILTER(active!H:H, (active!D:D = A118) * (active!F:F = ""Processed and Borrowed""))), """")"),"")</f>
        <v/>
      </c>
      <c r="H118" s="7"/>
      <c r="I118" s="7"/>
      <c r="J118" s="7"/>
    </row>
    <row r="119">
      <c r="A119" s="2">
        <v>9.780743258074E12</v>
      </c>
      <c r="B119" s="2" t="s">
        <v>244</v>
      </c>
      <c r="C119" s="2" t="s">
        <v>101</v>
      </c>
      <c r="D119" s="4">
        <v>1.0</v>
      </c>
      <c r="E119" s="7">
        <f>IF(
  COUNTIFS(active!D:D, A119, active!F:F, "Processed and Borrowed") &gt; D119,
  "Error",
  COUNTIFS(active!D:D, A119, active!F:F, "Processed and Borrowed")
)
</f>
        <v>0</v>
      </c>
      <c r="F119" s="7" t="str">
        <f t="shared" si="1"/>
        <v>Available</v>
      </c>
      <c r="G119" s="9" t="str">
        <f>IFERROR(__xludf.DUMMYFUNCTION("IF(E119&gt;0, MIN(FILTER(active!H:H, (active!D:D = A119) * (active!F:F = ""Processed and Borrowed""))), """")"),"")</f>
        <v/>
      </c>
      <c r="H119" s="7"/>
      <c r="I119" s="7"/>
      <c r="J119" s="7"/>
    </row>
    <row r="120">
      <c r="A120" s="2">
        <v>9.780140449235E12</v>
      </c>
      <c r="B120" s="2" t="s">
        <v>245</v>
      </c>
      <c r="C120" s="2" t="s">
        <v>246</v>
      </c>
      <c r="D120" s="4">
        <v>1.0</v>
      </c>
      <c r="E120" s="7">
        <f>IF(
  COUNTIFS(active!D:D, A120, active!F:F, "Processed and Borrowed") &gt; D120,
  "Error",
  COUNTIFS(active!D:D, A120, active!F:F, "Processed and Borrowed")
)
</f>
        <v>0</v>
      </c>
      <c r="F120" s="7" t="str">
        <f t="shared" si="1"/>
        <v>Available</v>
      </c>
      <c r="G120" s="9" t="str">
        <f>IFERROR(__xludf.DUMMYFUNCTION("IF(E120&gt;0, MIN(FILTER(active!H:H, (active!D:D = A120) * (active!F:F = ""Processed and Borrowed""))), """")"),"")</f>
        <v/>
      </c>
      <c r="H120" s="7"/>
      <c r="I120" s="7"/>
      <c r="J120" s="7"/>
    </row>
    <row r="121">
      <c r="A121" s="2">
        <v>9.780141981253E12</v>
      </c>
      <c r="B121" s="2" t="s">
        <v>247</v>
      </c>
      <c r="C121" s="2" t="s">
        <v>248</v>
      </c>
      <c r="D121" s="4">
        <v>1.0</v>
      </c>
      <c r="E121" s="7">
        <f>IF(
  COUNTIFS(active!D:D, A121, active!F:F, "Processed and Borrowed") &gt; D121,
  "Error",
  COUNTIFS(active!D:D, A121, active!F:F, "Processed and Borrowed")
)
</f>
        <v>0</v>
      </c>
      <c r="F121" s="7" t="str">
        <f t="shared" si="1"/>
        <v>Available</v>
      </c>
      <c r="G121" s="9" t="str">
        <f>IFERROR(__xludf.DUMMYFUNCTION("IF(E121&gt;0, MIN(FILTER(active!H:H, (active!D:D = A121) * (active!F:F = ""Processed and Borrowed""))), """")"),"")</f>
        <v/>
      </c>
      <c r="H121" s="7"/>
      <c r="I121" s="7"/>
      <c r="J121" s="7"/>
    </row>
    <row r="122">
      <c r="A122" s="2">
        <v>9.780743260879E12</v>
      </c>
      <c r="B122" s="2" t="s">
        <v>249</v>
      </c>
      <c r="C122" s="2" t="s">
        <v>250</v>
      </c>
      <c r="D122" s="4">
        <v>1.0</v>
      </c>
      <c r="E122" s="7">
        <f>IF(
  COUNTIFS(active!D:D, A122, active!F:F, "Processed and Borrowed") &gt; D122,
  "Error",
  COUNTIFS(active!D:D, A122, active!F:F, "Processed and Borrowed")
)
</f>
        <v>0</v>
      </c>
      <c r="F122" s="7" t="str">
        <f t="shared" si="1"/>
        <v>Available</v>
      </c>
      <c r="G122" s="9" t="str">
        <f>IFERROR(__xludf.DUMMYFUNCTION("IF(E122&gt;0, MIN(FILTER(active!H:H, (active!D:D = A122) * (active!F:F = ""Processed and Borrowed""))), """")"),"")</f>
        <v/>
      </c>
      <c r="H122" s="7"/>
      <c r="I122" s="7"/>
      <c r="J122" s="7"/>
    </row>
    <row r="123">
      <c r="A123" s="2">
        <v>9.781473217409E12</v>
      </c>
      <c r="B123" s="2" t="s">
        <v>251</v>
      </c>
      <c r="C123" s="2" t="s">
        <v>99</v>
      </c>
      <c r="D123" s="4">
        <v>1.0</v>
      </c>
      <c r="E123" s="7">
        <f>IF(
  COUNTIFS(active!D:D, A123, active!F:F, "Processed and Borrowed") &gt; D123,
  "Error",
  COUNTIFS(active!D:D, A123, active!F:F, "Processed and Borrowed")
)
</f>
        <v>0</v>
      </c>
      <c r="F123" s="7" t="str">
        <f t="shared" si="1"/>
        <v>Available</v>
      </c>
      <c r="G123" s="9" t="str">
        <f>IFERROR(__xludf.DUMMYFUNCTION("IF(E123&gt;0, MIN(FILTER(active!H:H, (active!D:D = A123) * (active!F:F = ""Processed and Borrowed""))), """")"),"")</f>
        <v/>
      </c>
      <c r="H123" s="7"/>
      <c r="I123" s="7"/>
      <c r="J123" s="7"/>
    </row>
    <row r="124">
      <c r="A124" s="2">
        <v>9.781471167942E12</v>
      </c>
      <c r="B124" s="2" t="s">
        <v>252</v>
      </c>
      <c r="C124" s="2" t="s">
        <v>101</v>
      </c>
      <c r="D124" s="4">
        <v>1.0</v>
      </c>
      <c r="E124" s="7">
        <f>IF(
  COUNTIFS(active!D:D, A124, active!F:F, "Processed and Borrowed") &gt; D124,
  "Error",
  COUNTIFS(active!D:D, A124, active!F:F, "Processed and Borrowed")
)
</f>
        <v>0</v>
      </c>
      <c r="F124" s="7" t="str">
        <f t="shared" si="1"/>
        <v>Available</v>
      </c>
      <c r="G124" s="9" t="str">
        <f>IFERROR(__xludf.DUMMYFUNCTION("IF(E124&gt;0, MIN(FILTER(active!H:H, (active!D:D = A124) * (active!F:F = ""Processed and Borrowed""))), """")"),"")</f>
        <v/>
      </c>
      <c r="H124" s="7"/>
      <c r="I124" s="7"/>
      <c r="J124" s="7"/>
    </row>
    <row r="125">
      <c r="A125" s="2">
        <v>9.781250183866E12</v>
      </c>
      <c r="B125" s="2" t="s">
        <v>253</v>
      </c>
      <c r="C125" s="2" t="s">
        <v>254</v>
      </c>
      <c r="D125" s="4">
        <v>1.0</v>
      </c>
      <c r="E125" s="7">
        <f>IF(
  COUNTIFS(active!D:D, A125, active!F:F, "Processed and Borrowed") &gt; D125,
  "Error",
  COUNTIFS(active!D:D, A125, active!F:F, "Processed and Borrowed")
)
</f>
        <v>0</v>
      </c>
      <c r="F125" s="7" t="str">
        <f t="shared" si="1"/>
        <v>Available</v>
      </c>
      <c r="G125" s="9" t="str">
        <f>IFERROR(__xludf.DUMMYFUNCTION("IF(E125&gt;0, MIN(FILTER(active!H:H, (active!D:D = A125) * (active!F:F = ""Processed and Borrowed""))), """")"),"")</f>
        <v/>
      </c>
      <c r="H125" s="7"/>
      <c r="I125" s="7"/>
      <c r="J125" s="7"/>
    </row>
    <row r="126">
      <c r="A126" s="2">
        <v>9.780141019017E12</v>
      </c>
      <c r="B126" s="2" t="s">
        <v>255</v>
      </c>
      <c r="C126" s="2" t="s">
        <v>256</v>
      </c>
      <c r="D126" s="4">
        <v>1.0</v>
      </c>
      <c r="E126" s="7">
        <f>IF(
  COUNTIFS(active!D:D, A126, active!F:F, "Processed and Borrowed") &gt; D126,
  "Error",
  COUNTIFS(active!D:D, A126, active!F:F, "Processed and Borrowed")
)
</f>
        <v>0</v>
      </c>
      <c r="F126" s="7" t="str">
        <f t="shared" si="1"/>
        <v>Available</v>
      </c>
      <c r="G126" s="9" t="str">
        <f>IFERROR(__xludf.DUMMYFUNCTION("IF(E126&gt;0, MIN(FILTER(active!H:H, (active!D:D = A126) * (active!F:F = ""Processed and Borrowed""))), """")"),"")</f>
        <v/>
      </c>
      <c r="H126" s="7"/>
      <c r="I126" s="7"/>
      <c r="J126" s="7"/>
    </row>
    <row r="127">
      <c r="A127" s="2">
        <v>9.780141980782E12</v>
      </c>
      <c r="B127" s="2" t="s">
        <v>257</v>
      </c>
      <c r="C127" s="2" t="s">
        <v>258</v>
      </c>
      <c r="D127" s="4">
        <v>1.0</v>
      </c>
      <c r="E127" s="7">
        <f>IF(
  COUNTIFS(active!D:D, A127, active!F:F, "Processed and Borrowed") &gt; D127,
  "Error",
  COUNTIFS(active!D:D, A127, active!F:F, "Processed and Borrowed")
)
</f>
        <v>0</v>
      </c>
      <c r="F127" s="7" t="str">
        <f t="shared" si="1"/>
        <v>Available</v>
      </c>
      <c r="G127" s="9" t="str">
        <f>IFERROR(__xludf.DUMMYFUNCTION("IF(E127&gt;0, MIN(FILTER(active!H:H, (active!D:D = A127) * (active!F:F = ""Processed and Borrowed""))), """")"),"")</f>
        <v/>
      </c>
      <c r="H127" s="7"/>
      <c r="I127" s="7"/>
      <c r="J127" s="7"/>
    </row>
    <row r="128">
      <c r="A128" s="2">
        <v>9.780141182575E12</v>
      </c>
      <c r="B128" s="2" t="s">
        <v>259</v>
      </c>
      <c r="C128" s="2" t="s">
        <v>260</v>
      </c>
      <c r="D128" s="4">
        <v>1.0</v>
      </c>
      <c r="E128" s="7">
        <f>IF(
  COUNTIFS(active!D:D, A128, active!F:F, "Processed and Borrowed") &gt; D128,
  "Error",
  COUNTIFS(active!D:D, A128, active!F:F, "Processed and Borrowed")
)
</f>
        <v>0</v>
      </c>
      <c r="F128" s="7" t="str">
        <f t="shared" si="1"/>
        <v>Available</v>
      </c>
      <c r="G128" s="9" t="str">
        <f>IFERROR(__xludf.DUMMYFUNCTION("IF(E128&gt;0, MIN(FILTER(active!H:H, (active!D:D = A128) * (active!F:F = ""Processed and Borrowed""))), """")"),"")</f>
        <v/>
      </c>
      <c r="H128" s="7"/>
      <c r="I128" s="7"/>
      <c r="J128" s="7"/>
    </row>
    <row r="129">
      <c r="A129" s="2">
        <v>9.780241300725E12</v>
      </c>
      <c r="B129" s="2" t="s">
        <v>261</v>
      </c>
      <c r="C129" s="2" t="s">
        <v>262</v>
      </c>
      <c r="D129" s="4">
        <v>1.0</v>
      </c>
      <c r="E129" s="7">
        <f>IF(
  COUNTIFS(active!D:D, A129, active!F:F, "Processed and Borrowed") &gt; D129,
  "Error",
  COUNTIFS(active!D:D, A129, active!F:F, "Processed and Borrowed")
)
</f>
        <v>0</v>
      </c>
      <c r="F129" s="7" t="str">
        <f t="shared" si="1"/>
        <v>Available</v>
      </c>
      <c r="G129" s="9" t="str">
        <f>IFERROR(__xludf.DUMMYFUNCTION("IF(E129&gt;0, MIN(FILTER(active!H:H, (active!D:D = A129) * (active!F:F = ""Processed and Borrowed""))), """")"),"")</f>
        <v/>
      </c>
      <c r="H129" s="7"/>
      <c r="I129" s="7"/>
      <c r="J129" s="7"/>
    </row>
    <row r="130">
      <c r="A130" s="2">
        <v>9.781471166785E12</v>
      </c>
      <c r="B130" s="2" t="s">
        <v>263</v>
      </c>
      <c r="C130" s="2" t="s">
        <v>101</v>
      </c>
      <c r="D130" s="4">
        <v>1.0</v>
      </c>
      <c r="E130" s="7">
        <f>IF(
  COUNTIFS(active!D:D, A130, active!F:F, "Processed and Borrowed") &gt; D130,
  "Error",
  COUNTIFS(active!D:D, A130, active!F:F, "Processed and Borrowed")
)
</f>
        <v>0</v>
      </c>
      <c r="F130" s="7" t="str">
        <f t="shared" si="1"/>
        <v>Available</v>
      </c>
      <c r="G130" s="9" t="str">
        <f>IFERROR(__xludf.DUMMYFUNCTION("IF(E130&gt;0, MIN(FILTER(active!H:H, (active!D:D = A130) * (active!F:F = ""Processed and Borrowed""))), """")"),"")</f>
        <v/>
      </c>
      <c r="H130" s="7"/>
      <c r="I130" s="7"/>
      <c r="J130" s="7"/>
    </row>
    <row r="131">
      <c r="A131" s="2">
        <v>9.780241248744E12</v>
      </c>
      <c r="B131" s="2" t="s">
        <v>264</v>
      </c>
      <c r="C131" s="2" t="s">
        <v>265</v>
      </c>
      <c r="D131" s="4">
        <v>1.0</v>
      </c>
      <c r="E131" s="7">
        <f>IF(
  COUNTIFS(active!D:D, A131, active!F:F, "Processed and Borrowed") &gt; D131,
  "Error",
  COUNTIFS(active!D:D, A131, active!F:F, "Processed and Borrowed")
)
</f>
        <v>0</v>
      </c>
      <c r="F131" s="7" t="str">
        <f t="shared" si="1"/>
        <v>Available</v>
      </c>
      <c r="G131" s="9" t="str">
        <f>IFERROR(__xludf.DUMMYFUNCTION("IF(E131&gt;0, MIN(FILTER(active!H:H, (active!D:D = A131) * (active!F:F = ""Processed and Borrowed""))), """")"),"")</f>
        <v/>
      </c>
      <c r="H131" s="7"/>
      <c r="I131" s="7"/>
      <c r="J131" s="7"/>
    </row>
    <row r="132">
      <c r="A132" s="2">
        <v>9.780141396316E12</v>
      </c>
      <c r="B132" s="2" t="s">
        <v>266</v>
      </c>
      <c r="C132" s="2" t="s">
        <v>267</v>
      </c>
      <c r="D132" s="4">
        <v>1.0</v>
      </c>
      <c r="E132" s="7">
        <f>IF(
  COUNTIFS(active!D:D, A132, active!F:F, "Processed and Borrowed") &gt; D132,
  "Error",
  COUNTIFS(active!D:D, A132, active!F:F, "Processed and Borrowed")
)
</f>
        <v>0</v>
      </c>
      <c r="F132" s="7" t="str">
        <f t="shared" si="1"/>
        <v>Available</v>
      </c>
      <c r="G132" s="9" t="str">
        <f>IFERROR(__xludf.DUMMYFUNCTION("IF(E132&gt;0, MIN(FILTER(active!H:H, (active!D:D = A132) * (active!F:F = ""Processed and Borrowed""))), """")"),"")</f>
        <v/>
      </c>
      <c r="H132" s="7"/>
      <c r="I132" s="7"/>
      <c r="J132" s="7"/>
    </row>
    <row r="133">
      <c r="A133" s="2">
        <v>9.780718188863E12</v>
      </c>
      <c r="B133" s="2" t="s">
        <v>268</v>
      </c>
      <c r="C133" s="2" t="s">
        <v>269</v>
      </c>
      <c r="D133" s="4">
        <v>1.0</v>
      </c>
      <c r="E133" s="7">
        <f>IF(
  COUNTIFS(active!D:D, A133, active!F:F, "Processed and Borrowed") &gt; D133,
  "Error",
  COUNTIFS(active!D:D, A133, active!F:F, "Processed and Borrowed")
)
</f>
        <v>0</v>
      </c>
      <c r="F133" s="7" t="str">
        <f t="shared" si="1"/>
        <v>Available</v>
      </c>
      <c r="G133" s="9" t="str">
        <f>IFERROR(__xludf.DUMMYFUNCTION("IF(E133&gt;0, MIN(FILTER(active!H:H, (active!D:D = A133) * (active!F:F = ""Processed and Borrowed""))), """")"),"")</f>
        <v/>
      </c>
      <c r="H133" s="7"/>
      <c r="I133" s="7"/>
      <c r="J133" s="7"/>
    </row>
    <row r="134">
      <c r="A134" s="2">
        <v>9.780241951224E12</v>
      </c>
      <c r="B134" s="2" t="s">
        <v>270</v>
      </c>
      <c r="C134" s="2" t="s">
        <v>271</v>
      </c>
      <c r="D134" s="4">
        <v>1.0</v>
      </c>
      <c r="E134" s="7">
        <f>IF(
  COUNTIFS(active!D:D, A134, active!F:F, "Processed and Borrowed") &gt; D134,
  "Error",
  COUNTIFS(active!D:D, A134, active!F:F, "Processed and Borrowed")
)
</f>
        <v>0</v>
      </c>
      <c r="F134" s="7" t="str">
        <f t="shared" si="1"/>
        <v>Available</v>
      </c>
      <c r="G134" s="9" t="str">
        <f>IFERROR(__xludf.DUMMYFUNCTION("IF(E134&gt;0, MIN(FILTER(active!H:H, (active!D:D = A134) * (active!F:F = ""Processed and Borrowed""))), """")"),"")</f>
        <v/>
      </c>
      <c r="H134" s="7"/>
      <c r="I134" s="7"/>
      <c r="J134" s="7"/>
    </row>
    <row r="135">
      <c r="A135" s="2">
        <v>9.780141185101E12</v>
      </c>
      <c r="B135" s="2" t="s">
        <v>272</v>
      </c>
      <c r="C135" s="2" t="s">
        <v>273</v>
      </c>
      <c r="D135" s="4">
        <v>1.0</v>
      </c>
      <c r="E135" s="7">
        <f>IF(
  COUNTIFS(active!D:D, A135, active!F:F, "Processed and Borrowed") &gt; D135,
  "Error",
  COUNTIFS(active!D:D, A135, active!F:F, "Processed and Borrowed")
)
</f>
        <v>0</v>
      </c>
      <c r="F135" s="7" t="str">
        <f t="shared" si="1"/>
        <v>Available</v>
      </c>
      <c r="G135" s="9" t="str">
        <f>IFERROR(__xludf.DUMMYFUNCTION("IF(E135&gt;0, MIN(FILTER(active!H:H, (active!D:D = A135) * (active!F:F = ""Processed and Borrowed""))), """")"),"")</f>
        <v/>
      </c>
      <c r="H135" s="7"/>
      <c r="I135" s="7"/>
      <c r="J135" s="7"/>
    </row>
    <row r="136">
      <c r="A136" s="2">
        <v>9.780141396514E12</v>
      </c>
      <c r="B136" s="2" t="s">
        <v>274</v>
      </c>
      <c r="C136" s="2" t="s">
        <v>267</v>
      </c>
      <c r="D136" s="4">
        <v>1.0</v>
      </c>
      <c r="E136" s="7">
        <f>IF(
  COUNTIFS(active!D:D, A136, active!F:F, "Processed and Borrowed") &gt; D136,
  "Error",
  COUNTIFS(active!D:D, A136, active!F:F, "Processed and Borrowed")
)
</f>
        <v>0</v>
      </c>
      <c r="F136" s="7" t="str">
        <f t="shared" si="1"/>
        <v>Available</v>
      </c>
      <c r="G136" s="9" t="str">
        <f>IFERROR(__xludf.DUMMYFUNCTION("IF(E136&gt;0, MIN(FILTER(active!H:H, (active!D:D = A136) * (active!F:F = ""Processed and Borrowed""))), """")"),"")</f>
        <v/>
      </c>
      <c r="H136" s="7"/>
      <c r="I136" s="7"/>
      <c r="J136" s="7"/>
    </row>
    <row r="137">
      <c r="A137" s="2">
        <v>9.780141043029E12</v>
      </c>
      <c r="B137" s="2" t="s">
        <v>275</v>
      </c>
      <c r="C137" s="2" t="s">
        <v>276</v>
      </c>
      <c r="D137" s="4">
        <v>1.0</v>
      </c>
      <c r="E137" s="7">
        <f>IF(
  COUNTIFS(active!D:D, A137, active!F:F, "Processed and Borrowed") &gt; D137,
  "Error",
  COUNTIFS(active!D:D, A137, active!F:F, "Processed and Borrowed")
)
</f>
        <v>0</v>
      </c>
      <c r="F137" s="7" t="str">
        <f t="shared" si="1"/>
        <v>Available</v>
      </c>
      <c r="G137" s="9" t="str">
        <f>IFERROR(__xludf.DUMMYFUNCTION("IF(E137&gt;0, MIN(FILTER(active!H:H, (active!D:D = A137) * (active!F:F = ""Processed and Borrowed""))), """")"),"")</f>
        <v/>
      </c>
      <c r="H137" s="7"/>
      <c r="I137" s="7"/>
      <c r="J137" s="7"/>
    </row>
    <row r="138">
      <c r="A138" s="2">
        <v>9.781422187395E12</v>
      </c>
      <c r="B138" s="2" t="s">
        <v>277</v>
      </c>
      <c r="C138" s="2" t="s">
        <v>278</v>
      </c>
      <c r="D138" s="4">
        <v>1.0</v>
      </c>
      <c r="E138" s="7">
        <f>IF(
  COUNTIFS(active!D:D, A138, active!F:F, "Processed and Borrowed") &gt; D138,
  "Error",
  COUNTIFS(active!D:D, A138, active!F:F, "Processed and Borrowed")
)
</f>
        <v>0</v>
      </c>
      <c r="F138" s="7" t="str">
        <f t="shared" si="1"/>
        <v>Available</v>
      </c>
      <c r="G138" s="9" t="str">
        <f>IFERROR(__xludf.DUMMYFUNCTION("IF(E138&gt;0, MIN(FILTER(active!H:H, (active!D:D = A138) * (active!F:F = ""Processed and Borrowed""))), """")"),"")</f>
        <v/>
      </c>
      <c r="H138" s="7"/>
      <c r="I138" s="7"/>
      <c r="J138" s="7"/>
    </row>
    <row r="139">
      <c r="A139" s="2">
        <v>9.780141029191E12</v>
      </c>
      <c r="B139" s="2" t="s">
        <v>279</v>
      </c>
      <c r="C139" s="2" t="s">
        <v>280</v>
      </c>
      <c r="D139" s="4">
        <v>1.0</v>
      </c>
      <c r="E139" s="7">
        <f>IF(
  COUNTIFS(active!D:D, A139, active!F:F, "Processed and Borrowed") &gt; D139,
  "Error",
  COUNTIFS(active!D:D, A139, active!F:F, "Processed and Borrowed")
)
</f>
        <v>0</v>
      </c>
      <c r="F139" s="7" t="str">
        <f t="shared" si="1"/>
        <v>Available</v>
      </c>
      <c r="G139" s="9" t="str">
        <f>IFERROR(__xludf.DUMMYFUNCTION("IF(E139&gt;0, MIN(FILTER(active!H:H, (active!D:D = A139) * (active!F:F = ""Processed and Borrowed""))), """")"),"")</f>
        <v/>
      </c>
      <c r="H139" s="7"/>
      <c r="I139" s="7"/>
      <c r="J139" s="7"/>
    </row>
    <row r="140">
      <c r="A140" s="2">
        <v>9.780141983219E12</v>
      </c>
      <c r="B140" s="2" t="s">
        <v>281</v>
      </c>
      <c r="C140" s="2" t="s">
        <v>71</v>
      </c>
      <c r="D140" s="4">
        <v>1.0</v>
      </c>
      <c r="E140" s="7">
        <f>IF(
  COUNTIFS(active!D:D, A140, active!F:F, "Processed and Borrowed") &gt; D140,
  "Error",
  COUNTIFS(active!D:D, A140, active!F:F, "Processed and Borrowed")
)
</f>
        <v>0</v>
      </c>
      <c r="F140" s="7" t="str">
        <f t="shared" si="1"/>
        <v>Available</v>
      </c>
      <c r="G140" s="9" t="str">
        <f>IFERROR(__xludf.DUMMYFUNCTION("IF(E140&gt;0, MIN(FILTER(active!H:H, (active!D:D = A140) * (active!F:F = ""Processed and Borrowed""))), """")"),"")</f>
        <v/>
      </c>
      <c r="H140" s="7"/>
      <c r="I140" s="7"/>
      <c r="J140" s="7"/>
    </row>
    <row r="141">
      <c r="A141" s="2">
        <v>9.781444758993E12</v>
      </c>
      <c r="B141" s="2" t="s">
        <v>282</v>
      </c>
      <c r="C141" s="2" t="s">
        <v>283</v>
      </c>
      <c r="D141" s="4">
        <v>1.0</v>
      </c>
      <c r="E141" s="7">
        <f>IF(
  COUNTIFS(active!D:D, A141, active!F:F, "Processed and Borrowed") &gt; D141,
  "Error",
  COUNTIFS(active!D:D, A141, active!F:F, "Processed and Borrowed")
)
</f>
        <v>0</v>
      </c>
      <c r="F141" s="7" t="str">
        <f t="shared" si="1"/>
        <v>Available</v>
      </c>
      <c r="G141" s="9" t="str">
        <f>IFERROR(__xludf.DUMMYFUNCTION("IF(E141&gt;0, MIN(FILTER(active!H:H, (active!D:D = A141) * (active!F:F = ""Processed and Borrowed""))), """")"),"")</f>
        <v/>
      </c>
      <c r="H141" s="7"/>
      <c r="I141" s="7"/>
      <c r="J141" s="7"/>
    </row>
    <row r="142">
      <c r="A142" s="2">
        <v>9.78144726897E12</v>
      </c>
      <c r="B142" s="2" t="s">
        <v>284</v>
      </c>
      <c r="C142" s="2" t="s">
        <v>285</v>
      </c>
      <c r="D142" s="4">
        <v>1.0</v>
      </c>
      <c r="E142" s="7">
        <f>IF(
  COUNTIFS(active!D:D, A142, active!F:F, "Processed and Borrowed") &gt; D142,
  "Error",
  COUNTIFS(active!D:D, A142, active!F:F, "Processed and Borrowed")
)
</f>
        <v>0</v>
      </c>
      <c r="F142" s="7" t="str">
        <f t="shared" si="1"/>
        <v>Available</v>
      </c>
      <c r="G142" s="9" t="str">
        <f>IFERROR(__xludf.DUMMYFUNCTION("IF(E142&gt;0, MIN(FILTER(active!H:H, (active!D:D = A142) * (active!F:F = ""Processed and Borrowed""))), """")"),"")</f>
        <v/>
      </c>
      <c r="H142" s="7"/>
      <c r="I142" s="7"/>
      <c r="J142" s="7"/>
    </row>
    <row r="143">
      <c r="A143" s="2">
        <v>9.780140443486E12</v>
      </c>
      <c r="B143" s="2" t="s">
        <v>286</v>
      </c>
      <c r="C143" s="2" t="s">
        <v>287</v>
      </c>
      <c r="D143" s="4">
        <v>1.0</v>
      </c>
      <c r="E143" s="7">
        <f>IF(
  COUNTIFS(active!D:D, A143, active!F:F, "Processed and Borrowed") &gt; D143,
  "Error",
  COUNTIFS(active!D:D, A143, active!F:F, "Processed and Borrowed")
)
</f>
        <v>0</v>
      </c>
      <c r="F143" s="7" t="str">
        <f t="shared" si="1"/>
        <v>Available</v>
      </c>
      <c r="G143" s="9" t="str">
        <f>IFERROR(__xludf.DUMMYFUNCTION("IF(E143&gt;0, MIN(FILTER(active!H:H, (active!D:D = A143) * (active!F:F = ""Processed and Borrowed""))), """")"),"")</f>
        <v/>
      </c>
      <c r="H143" s="7"/>
      <c r="I143" s="7"/>
      <c r="J143" s="7"/>
    </row>
    <row r="144">
      <c r="A144" s="2">
        <v>9.780393337174E12</v>
      </c>
      <c r="B144" s="2" t="s">
        <v>288</v>
      </c>
      <c r="C144" s="2" t="s">
        <v>289</v>
      </c>
      <c r="D144" s="4">
        <v>1.0</v>
      </c>
      <c r="E144" s="7">
        <f>IF(
  COUNTIFS(active!D:D, A144, active!F:F, "Processed and Borrowed") &gt; D144,
  "Error",
  COUNTIFS(active!D:D, A144, active!F:F, "Processed and Borrowed")
)
</f>
        <v>0</v>
      </c>
      <c r="F144" s="7" t="str">
        <f t="shared" si="1"/>
        <v>Available</v>
      </c>
      <c r="G144" s="9" t="str">
        <f>IFERROR(__xludf.DUMMYFUNCTION("IF(E144&gt;0, MIN(FILTER(active!H:H, (active!D:D = A144) * (active!F:F = ""Processed and Borrowed""))), """")"),"")</f>
        <v/>
      </c>
      <c r="H144" s="7"/>
      <c r="I144" s="7"/>
      <c r="J144" s="7"/>
    </row>
    <row r="145">
      <c r="A145" s="2">
        <v>9.780141990262E12</v>
      </c>
      <c r="B145" s="2" t="s">
        <v>290</v>
      </c>
      <c r="C145" s="2" t="s">
        <v>291</v>
      </c>
      <c r="D145" s="4">
        <v>1.0</v>
      </c>
      <c r="E145" s="7">
        <f>IF(
  COUNTIFS(active!D:D, A145, active!F:F, "Processed and Borrowed") &gt; D145,
  "Error",
  COUNTIFS(active!D:D, A145, active!F:F, "Processed and Borrowed")
)
</f>
        <v>0</v>
      </c>
      <c r="F145" s="7" t="str">
        <f t="shared" si="1"/>
        <v>Available</v>
      </c>
      <c r="G145" s="9" t="str">
        <f>IFERROR(__xludf.DUMMYFUNCTION("IF(E145&gt;0, MIN(FILTER(active!H:H, (active!D:D = A145) * (active!F:F = ""Processed and Borrowed""))), """")"),"")</f>
        <v/>
      </c>
      <c r="H145" s="7"/>
      <c r="I145" s="7"/>
      <c r="J145" s="7"/>
    </row>
    <row r="146">
      <c r="A146" s="2">
        <v>9.780241956281E12</v>
      </c>
      <c r="B146" s="2" t="s">
        <v>292</v>
      </c>
      <c r="C146" s="2" t="s">
        <v>293</v>
      </c>
      <c r="D146" s="4">
        <v>1.0</v>
      </c>
      <c r="E146" s="7">
        <f>IF(
  COUNTIFS(active!D:D, A146, active!F:F, "Processed and Borrowed") &gt; D146,
  "Error",
  COUNTIFS(active!D:D, A146, active!F:F, "Processed and Borrowed")
)
</f>
        <v>0</v>
      </c>
      <c r="F146" s="7" t="str">
        <f t="shared" si="1"/>
        <v>Available</v>
      </c>
      <c r="G146" s="9" t="str">
        <f>IFERROR(__xludf.DUMMYFUNCTION("IF(E146&gt;0, MIN(FILTER(active!H:H, (active!D:D = A146) * (active!F:F = ""Processed and Borrowed""))), """")"),"")</f>
        <v/>
      </c>
      <c r="H146" s="7"/>
      <c r="I146" s="7"/>
      <c r="J146" s="7"/>
    </row>
    <row r="147">
      <c r="A147" s="2">
        <v>9.780099537861E12</v>
      </c>
      <c r="B147" s="2" t="s">
        <v>294</v>
      </c>
      <c r="C147" s="2" t="s">
        <v>295</v>
      </c>
      <c r="D147" s="4">
        <v>1.0</v>
      </c>
      <c r="E147" s="7">
        <f>IF(
  COUNTIFS(active!D:D, A147, active!F:F, "Processed and Borrowed") &gt; D147,
  "Error",
  COUNTIFS(active!D:D, A147, active!F:F, "Processed and Borrowed")
)
</f>
        <v>0</v>
      </c>
      <c r="F147" s="7" t="str">
        <f t="shared" si="1"/>
        <v>Available</v>
      </c>
      <c r="G147" s="9" t="str">
        <f>IFERROR(__xludf.DUMMYFUNCTION("IF(E147&gt;0, MIN(FILTER(active!H:H, (active!D:D = A147) * (active!F:F = ""Processed and Borrowed""))), """")"),"")</f>
        <v/>
      </c>
      <c r="H147" s="7"/>
      <c r="I147" s="7"/>
      <c r="J147" s="7"/>
    </row>
    <row r="148">
      <c r="A148" s="2">
        <v>9.780141038872E12</v>
      </c>
      <c r="B148" s="2" t="s">
        <v>296</v>
      </c>
      <c r="C148" s="2" t="s">
        <v>297</v>
      </c>
      <c r="D148" s="4">
        <v>1.0</v>
      </c>
      <c r="E148" s="7">
        <f>IF(
  COUNTIFS(active!D:D, A148, active!F:F, "Processed and Borrowed") &gt; D148,
  "Error",
  COUNTIFS(active!D:D, A148, active!F:F, "Processed and Borrowed")
)
</f>
        <v>0</v>
      </c>
      <c r="F148" s="7" t="str">
        <f t="shared" si="1"/>
        <v>Available</v>
      </c>
      <c r="G148" s="9" t="str">
        <f>IFERROR(__xludf.DUMMYFUNCTION("IF(E148&gt;0, MIN(FILTER(active!H:H, (active!D:D = A148) * (active!F:F = ""Processed and Borrowed""))), """")"),"")</f>
        <v/>
      </c>
      <c r="H148" s="7"/>
      <c r="I148" s="7"/>
      <c r="J148" s="7"/>
    </row>
    <row r="149">
      <c r="A149" s="2">
        <v>9.780241950425E12</v>
      </c>
      <c r="B149" s="2" t="s">
        <v>298</v>
      </c>
      <c r="C149" s="2" t="s">
        <v>299</v>
      </c>
      <c r="D149" s="4">
        <v>1.0</v>
      </c>
      <c r="E149" s="7">
        <f>IF(
  COUNTIFS(active!D:D, A149, active!F:F, "Processed and Borrowed") &gt; D149,
  "Error",
  COUNTIFS(active!D:D, A149, active!F:F, "Processed and Borrowed")
)
</f>
        <v>0</v>
      </c>
      <c r="F149" s="7" t="str">
        <f t="shared" si="1"/>
        <v>Available</v>
      </c>
      <c r="G149" s="9" t="str">
        <f>IFERROR(__xludf.DUMMYFUNCTION("IF(E149&gt;0, MIN(FILTER(active!H:H, (active!D:D = A149) * (active!F:F = ""Processed and Borrowed""))), """")"),"")</f>
        <v/>
      </c>
      <c r="H149" s="7"/>
      <c r="I149" s="7"/>
      <c r="J149" s="7"/>
    </row>
    <row r="150">
      <c r="A150" s="2">
        <v>9.781982115869E12</v>
      </c>
      <c r="B150" s="2" t="s">
        <v>300</v>
      </c>
      <c r="C150" s="2" t="s">
        <v>101</v>
      </c>
      <c r="D150" s="4">
        <v>1.0</v>
      </c>
      <c r="E150" s="7">
        <f>IF(
  COUNTIFS(active!D:D, A150, active!F:F, "Processed and Borrowed") &gt; D150,
  "Error",
  COUNTIFS(active!D:D, A150, active!F:F, "Processed and Borrowed")
)
</f>
        <v>0</v>
      </c>
      <c r="F150" s="7" t="str">
        <f t="shared" si="1"/>
        <v>Available</v>
      </c>
      <c r="G150" s="9" t="str">
        <f>IFERROR(__xludf.DUMMYFUNCTION("IF(E150&gt;0, MIN(FILTER(active!H:H, (active!D:D = A150) * (active!F:F = ""Processed and Borrowed""))), """")"),"")</f>
        <v/>
      </c>
      <c r="H150" s="7"/>
      <c r="I150" s="7"/>
      <c r="J150" s="7"/>
    </row>
    <row r="151">
      <c r="A151" s="2">
        <v>9.780141182551E12</v>
      </c>
      <c r="B151" s="2" t="s">
        <v>301</v>
      </c>
      <c r="C151" s="2" t="s">
        <v>302</v>
      </c>
      <c r="D151" s="4">
        <v>1.0</v>
      </c>
      <c r="E151" s="7">
        <f>IF(
  COUNTIFS(active!D:D, A151, active!F:F, "Processed and Borrowed") &gt; D151,
  "Error",
  COUNTIFS(active!D:D, A151, active!F:F, "Processed and Borrowed")
)
</f>
        <v>0</v>
      </c>
      <c r="F151" s="7" t="str">
        <f t="shared" si="1"/>
        <v>Available</v>
      </c>
      <c r="G151" s="9" t="str">
        <f>IFERROR(__xludf.DUMMYFUNCTION("IF(E151&gt;0, MIN(FILTER(active!H:H, (active!D:D = A151) * (active!F:F = ""Processed and Borrowed""))), """")"),"")</f>
        <v/>
      </c>
      <c r="H151" s="7"/>
      <c r="I151" s="7"/>
      <c r="J151" s="7"/>
    </row>
    <row r="152">
      <c r="A152" s="2">
        <v>9.781786580375E12</v>
      </c>
      <c r="B152" s="2" t="s">
        <v>303</v>
      </c>
      <c r="C152" s="2" t="s">
        <v>304</v>
      </c>
      <c r="D152" s="4">
        <v>1.0</v>
      </c>
      <c r="E152" s="7">
        <f>IF(
  COUNTIFS(active!D:D, A152, active!F:F, "Processed and Borrowed") &gt; D152,
  "Error",
  COUNTIFS(active!D:D, A152, active!F:F, "Processed and Borrowed")
)
</f>
        <v>0</v>
      </c>
      <c r="F152" s="7" t="str">
        <f t="shared" si="1"/>
        <v>Available</v>
      </c>
      <c r="G152" s="9" t="str">
        <f>IFERROR(__xludf.DUMMYFUNCTION("IF(E152&gt;0, MIN(FILTER(active!H:H, (active!D:D = A152) * (active!F:F = ""Processed and Borrowed""))), """")"),"")</f>
        <v/>
      </c>
      <c r="H152" s="7"/>
      <c r="I152" s="7"/>
      <c r="J152" s="7"/>
    </row>
    <row r="153">
      <c r="A153" s="2">
        <v>9.780141182636E12</v>
      </c>
      <c r="B153" s="2" t="s">
        <v>305</v>
      </c>
      <c r="C153" s="2" t="s">
        <v>306</v>
      </c>
      <c r="D153" s="4">
        <v>1.0</v>
      </c>
      <c r="E153" s="7">
        <f>IF(
  COUNTIFS(active!D:D, A153, active!F:F, "Processed and Borrowed") &gt; D153,
  "Error",
  COUNTIFS(active!D:D, A153, active!F:F, "Processed and Borrowed")
)
</f>
        <v>0</v>
      </c>
      <c r="F153" s="7" t="str">
        <f t="shared" si="1"/>
        <v>Available</v>
      </c>
      <c r="G153" s="9" t="str">
        <f>IFERROR(__xludf.DUMMYFUNCTION("IF(E153&gt;0, MIN(FILTER(active!H:H, (active!D:D = A153) * (active!F:F = ""Processed and Borrowed""))), """")"),"")</f>
        <v/>
      </c>
      <c r="H153" s="7"/>
      <c r="I153" s="7"/>
      <c r="J153" s="7"/>
    </row>
    <row r="154">
      <c r="A154" s="2">
        <v>9.780099740919E12</v>
      </c>
      <c r="B154" s="2" t="s">
        <v>307</v>
      </c>
      <c r="C154" s="2" t="s">
        <v>308</v>
      </c>
      <c r="D154" s="4">
        <v>1.0</v>
      </c>
      <c r="E154" s="7">
        <f>IF(
  COUNTIFS(active!D:D, A154, active!F:F, "Processed and Borrowed") &gt; D154,
  "Error",
  COUNTIFS(active!D:D, A154, active!F:F, "Processed and Borrowed")
)
</f>
        <v>0</v>
      </c>
      <c r="F154" s="7" t="str">
        <f t="shared" si="1"/>
        <v>Available</v>
      </c>
      <c r="G154" s="9" t="str">
        <f>IFERROR(__xludf.DUMMYFUNCTION("IF(E154&gt;0, MIN(FILTER(active!H:H, (active!D:D = A154) * (active!F:F = ""Processed and Borrowed""))), """")"),"")</f>
        <v/>
      </c>
      <c r="H154" s="7"/>
      <c r="I154" s="7"/>
      <c r="J154" s="7"/>
    </row>
    <row r="155">
      <c r="A155" s="2">
        <v>9.781407132082E12</v>
      </c>
      <c r="B155" s="2" t="s">
        <v>309</v>
      </c>
      <c r="C155" s="2" t="s">
        <v>310</v>
      </c>
      <c r="D155" s="4">
        <v>1.0</v>
      </c>
      <c r="E155" s="7">
        <f>IF(
  COUNTIFS(active!D:D, A155, active!F:F, "Processed and Borrowed") &gt; D155,
  "Error",
  COUNTIFS(active!D:D, A155, active!F:F, "Processed and Borrowed")
)
</f>
        <v>0</v>
      </c>
      <c r="F155" s="7" t="str">
        <f t="shared" si="1"/>
        <v>Available</v>
      </c>
      <c r="G155" s="9" t="str">
        <f>IFERROR(__xludf.DUMMYFUNCTION("IF(E155&gt;0, MIN(FILTER(active!H:H, (active!D:D = A155) * (active!F:F = ""Processed and Borrowed""))), """")"),"")</f>
        <v/>
      </c>
      <c r="H155" s="7"/>
      <c r="I155" s="7"/>
      <c r="J155" s="7"/>
    </row>
    <row r="156">
      <c r="A156" s="2">
        <v>9.781647826765E12</v>
      </c>
      <c r="B156" s="2" t="s">
        <v>311</v>
      </c>
      <c r="C156" s="2" t="s">
        <v>312</v>
      </c>
      <c r="D156" s="4">
        <v>1.0</v>
      </c>
      <c r="E156" s="7">
        <f>IF(
  COUNTIFS(active!D:D, A156, active!F:F, "Processed and Borrowed") &gt; D156,
  "Error",
  COUNTIFS(active!D:D, A156, active!F:F, "Processed and Borrowed")
)
</f>
        <v>0</v>
      </c>
      <c r="F156" s="7" t="str">
        <f t="shared" si="1"/>
        <v>Available</v>
      </c>
      <c r="G156" s="9" t="str">
        <f>IFERROR(__xludf.DUMMYFUNCTION("IF(E156&gt;0, MIN(FILTER(active!H:H, (active!D:D = A156) * (active!F:F = ""Processed and Borrowed""))), """")"),"")</f>
        <v/>
      </c>
      <c r="H156" s="7"/>
      <c r="I156" s="7"/>
      <c r="J156" s="7"/>
    </row>
    <row r="157">
      <c r="A157" s="2">
        <v>9.781447277538E12</v>
      </c>
      <c r="B157" s="2" t="s">
        <v>313</v>
      </c>
      <c r="C157" s="2" t="s">
        <v>314</v>
      </c>
      <c r="D157" s="4">
        <v>1.0</v>
      </c>
      <c r="E157" s="7">
        <f>IF(
  COUNTIFS(active!D:D, A157, active!F:F, "Processed and Borrowed") &gt; D157,
  "Error",
  COUNTIFS(active!D:D, A157, active!F:F, "Processed and Borrowed")
)
</f>
        <v>0</v>
      </c>
      <c r="F157" s="7" t="str">
        <f t="shared" si="1"/>
        <v>Available</v>
      </c>
      <c r="G157" s="9" t="str">
        <f>IFERROR(__xludf.DUMMYFUNCTION("IF(E157&gt;0, MIN(FILTER(active!H:H, (active!D:D = A157) * (active!F:F = ""Processed and Borrowed""))), """")"),"")</f>
        <v/>
      </c>
      <c r="H157" s="7"/>
      <c r="I157" s="7"/>
      <c r="J157" s="7"/>
    </row>
    <row r="158">
      <c r="A158" s="2">
        <v>9.781529077292E12</v>
      </c>
      <c r="B158" s="2" t="s">
        <v>315</v>
      </c>
      <c r="C158" s="2" t="s">
        <v>168</v>
      </c>
      <c r="D158" s="4">
        <v>1.0</v>
      </c>
      <c r="E158" s="7">
        <f>IF(
  COUNTIFS(active!D:D, A158, active!F:F, "Processed and Borrowed") &gt; D158,
  "Error",
  COUNTIFS(active!D:D, A158, active!F:F, "Processed and Borrowed")
)
</f>
        <v>0</v>
      </c>
      <c r="F158" s="7" t="str">
        <f t="shared" si="1"/>
        <v>Available</v>
      </c>
      <c r="G158" s="9" t="str">
        <f>IFERROR(__xludf.DUMMYFUNCTION("IF(E158&gt;0, MIN(FILTER(active!H:H, (active!D:D = A158) * (active!F:F = ""Processed and Borrowed""))), """")"),"")</f>
        <v/>
      </c>
      <c r="H158" s="7"/>
      <c r="I158" s="7"/>
      <c r="J158" s="7"/>
    </row>
    <row r="159">
      <c r="A159" s="2">
        <v>9.7819094894E12</v>
      </c>
      <c r="B159" s="2" t="s">
        <v>316</v>
      </c>
      <c r="C159" s="2" t="s">
        <v>317</v>
      </c>
      <c r="D159" s="4">
        <v>1.0</v>
      </c>
      <c r="E159" s="7">
        <f>IF(
  COUNTIFS(active!D:D, A159, active!F:F, "Processed and Borrowed") &gt; D159,
  "Error",
  COUNTIFS(active!D:D, A159, active!F:F, "Processed and Borrowed")
)
</f>
        <v>0</v>
      </c>
      <c r="F159" s="7" t="str">
        <f t="shared" si="1"/>
        <v>Available</v>
      </c>
      <c r="G159" s="9" t="str">
        <f>IFERROR(__xludf.DUMMYFUNCTION("IF(E159&gt;0, MIN(FILTER(active!H:H, (active!D:D = A159) * (active!F:F = ""Processed and Borrowed""))), """")"),"")</f>
        <v/>
      </c>
      <c r="H159" s="7"/>
      <c r="I159" s="7"/>
      <c r="J159" s="7"/>
    </row>
    <row r="160">
      <c r="A160" s="2">
        <v>9.780198814399E12</v>
      </c>
      <c r="B160" s="2" t="s">
        <v>318</v>
      </c>
      <c r="C160" s="2" t="s">
        <v>319</v>
      </c>
      <c r="D160" s="4">
        <v>1.0</v>
      </c>
      <c r="E160" s="7">
        <f>IF(
  COUNTIFS(active!D:D, A160, active!F:F, "Processed and Borrowed") &gt; D160,
  "Error",
  COUNTIFS(active!D:D, A160, active!F:F, "Processed and Borrowed")
)
</f>
        <v>0</v>
      </c>
      <c r="F160" s="7" t="str">
        <f t="shared" si="1"/>
        <v>Available</v>
      </c>
      <c r="G160" s="9" t="str">
        <f>IFERROR(__xludf.DUMMYFUNCTION("IF(E160&gt;0, MIN(FILTER(active!H:H, (active!D:D = A160) * (active!F:F = ""Processed and Borrowed""))), """")"),"")</f>
        <v/>
      </c>
      <c r="H160" s="7"/>
      <c r="I160" s="7"/>
      <c r="J160" s="7"/>
    </row>
    <row r="161">
      <c r="A161" s="2">
        <v>9.780393355574E12</v>
      </c>
      <c r="B161" s="2" t="s">
        <v>320</v>
      </c>
      <c r="C161" s="2" t="s">
        <v>321</v>
      </c>
      <c r="D161" s="4">
        <v>1.0</v>
      </c>
      <c r="E161" s="7">
        <f>IF(
  COUNTIFS(active!D:D, A161, active!F:F, "Processed and Borrowed") &gt; D161,
  "Error",
  COUNTIFS(active!D:D, A161, active!F:F, "Processed and Borrowed")
)
</f>
        <v>0</v>
      </c>
      <c r="F161" s="7" t="str">
        <f t="shared" si="1"/>
        <v>Available</v>
      </c>
      <c r="G161" s="9" t="str">
        <f>IFERROR(__xludf.DUMMYFUNCTION("IF(E161&gt;0, MIN(FILTER(active!H:H, (active!D:D = A161) * (active!F:F = ""Processed and Borrowed""))), """")"),"")</f>
        <v/>
      </c>
      <c r="H161" s="7"/>
      <c r="I161" s="7"/>
      <c r="J161" s="7"/>
    </row>
    <row r="162">
      <c r="A162" s="2">
        <v>9.781509848621E12</v>
      </c>
      <c r="B162" s="2" t="s">
        <v>322</v>
      </c>
      <c r="C162" s="2" t="s">
        <v>323</v>
      </c>
      <c r="D162" s="4">
        <v>1.0</v>
      </c>
      <c r="E162" s="7">
        <f>IF(
  COUNTIFS(active!D:D, A162, active!F:F, "Processed and Borrowed") &gt; D162,
  "Error",
  COUNTIFS(active!D:D, A162, active!F:F, "Processed and Borrowed")
)
</f>
        <v>0</v>
      </c>
      <c r="F162" s="7" t="str">
        <f t="shared" si="1"/>
        <v>Available</v>
      </c>
      <c r="G162" s="9" t="str">
        <f>IFERROR(__xludf.DUMMYFUNCTION("IF(E162&gt;0, MIN(FILTER(active!H:H, (active!D:D = A162) * (active!F:F = ""Processed and Borrowed""))), """")"),"")</f>
        <v/>
      </c>
      <c r="H162" s="7"/>
      <c r="I162" s="7"/>
      <c r="J162" s="7"/>
    </row>
    <row r="163">
      <c r="A163" s="2">
        <v>9.780349116754E12</v>
      </c>
      <c r="B163" s="2" t="s">
        <v>324</v>
      </c>
      <c r="C163" s="2" t="s">
        <v>325</v>
      </c>
      <c r="D163" s="4">
        <v>1.0</v>
      </c>
      <c r="E163" s="7">
        <f>IF(
  COUNTIFS(active!D:D, A163, active!F:F, "Processed and Borrowed") &gt; D163,
  "Error",
  COUNTIFS(active!D:D, A163, active!F:F, "Processed and Borrowed")
)
</f>
        <v>0</v>
      </c>
      <c r="F163" s="7" t="str">
        <f t="shared" si="1"/>
        <v>Available</v>
      </c>
      <c r="G163" s="9" t="str">
        <f>IFERROR(__xludf.DUMMYFUNCTION("IF(E163&gt;0, MIN(FILTER(active!H:H, (active!D:D = A163) * (active!F:F = ""Processed and Borrowed""))), """")"),"")</f>
        <v/>
      </c>
      <c r="H163" s="7"/>
      <c r="I163" s="7"/>
      <c r="J163" s="7"/>
    </row>
    <row r="164">
      <c r="A164" s="2">
        <v>9.78152933546E12</v>
      </c>
      <c r="B164" s="2" t="s">
        <v>326</v>
      </c>
      <c r="C164" s="2" t="s">
        <v>327</v>
      </c>
      <c r="D164" s="4">
        <v>1.0</v>
      </c>
      <c r="E164" s="7">
        <f>IF(
  COUNTIFS(active!D:D, A164, active!F:F, "Processed and Borrowed") &gt; D164,
  "Error",
  COUNTIFS(active!D:D, A164, active!F:F, "Processed and Borrowed")
)
</f>
        <v>0</v>
      </c>
      <c r="F164" s="7" t="str">
        <f t="shared" si="1"/>
        <v>Available</v>
      </c>
      <c r="G164" s="9" t="str">
        <f>IFERROR(__xludf.DUMMYFUNCTION("IF(E164&gt;0, MIN(FILTER(active!H:H, (active!D:D = A164) * (active!F:F = ""Processed and Borrowed""))), """")"),"")</f>
        <v/>
      </c>
      <c r="H164" s="7"/>
      <c r="I164" s="7"/>
      <c r="J164" s="7"/>
    </row>
    <row r="165">
      <c r="A165" s="2">
        <v>9.780241961001E12</v>
      </c>
      <c r="B165" s="2" t="s">
        <v>328</v>
      </c>
      <c r="C165" s="2" t="s">
        <v>99</v>
      </c>
      <c r="D165" s="4">
        <v>1.0</v>
      </c>
      <c r="E165" s="7">
        <f>IF(
  COUNTIFS(active!D:D, A165, active!F:F, "Processed and Borrowed") &gt; D165,
  "Error",
  COUNTIFS(active!D:D, A165, active!F:F, "Processed and Borrowed")
)
</f>
        <v>0</v>
      </c>
      <c r="F165" s="7" t="str">
        <f t="shared" si="1"/>
        <v>Available</v>
      </c>
      <c r="G165" s="9" t="str">
        <f>IFERROR(__xludf.DUMMYFUNCTION("IF(E165&gt;0, MIN(FILTER(active!H:H, (active!D:D = A165) * (active!F:F = ""Processed and Borrowed""))), """")"),"")</f>
        <v/>
      </c>
      <c r="H165" s="7"/>
      <c r="I165" s="7"/>
      <c r="J165" s="7"/>
    </row>
    <row r="166">
      <c r="A166" s="2">
        <v>9.780241656846E12</v>
      </c>
      <c r="B166" s="2" t="s">
        <v>329</v>
      </c>
      <c r="C166" s="2" t="s">
        <v>330</v>
      </c>
      <c r="D166" s="4">
        <v>1.0</v>
      </c>
      <c r="E166" s="7">
        <f>IF(
  COUNTIFS(active!D:D, A166, active!F:F, "Processed and Borrowed") &gt; D166,
  "Error",
  COUNTIFS(active!D:D, A166, active!F:F, "Processed and Borrowed")
)
</f>
        <v>0</v>
      </c>
      <c r="F166" s="7" t="str">
        <f t="shared" si="1"/>
        <v>Available</v>
      </c>
      <c r="G166" s="9" t="str">
        <f>IFERROR(__xludf.DUMMYFUNCTION("IF(E166&gt;0, MIN(FILTER(active!H:H, (active!D:D = A166) * (active!F:F = ""Processed and Borrowed""))), """")"),"")</f>
        <v/>
      </c>
      <c r="H166" s="7"/>
      <c r="I166" s="7"/>
      <c r="J166" s="7"/>
    </row>
    <row r="167">
      <c r="A167" s="2">
        <v>9.780752864365E12</v>
      </c>
      <c r="B167" s="2" t="s">
        <v>331</v>
      </c>
      <c r="C167" s="2" t="s">
        <v>332</v>
      </c>
      <c r="D167" s="4">
        <v>1.0</v>
      </c>
      <c r="E167" s="7">
        <f>IF(
  COUNTIFS(active!D:D, A167, active!F:F, "Processed and Borrowed") &gt; D167,
  "Error",
  COUNTIFS(active!D:D, A167, active!F:F, "Processed and Borrowed")
)
</f>
        <v>0</v>
      </c>
      <c r="F167" s="7" t="str">
        <f t="shared" si="1"/>
        <v>Available</v>
      </c>
      <c r="G167" s="9" t="str">
        <f>IFERROR(__xludf.DUMMYFUNCTION("IF(E167&gt;0, MIN(FILTER(active!H:H, (active!D:D = A167) * (active!F:F = ""Processed and Borrowed""))), """")"),"")</f>
        <v/>
      </c>
      <c r="H167" s="7"/>
      <c r="I167" s="7"/>
      <c r="J167" s="7"/>
    </row>
    <row r="168">
      <c r="A168" s="2">
        <v>9.781847946249E12</v>
      </c>
      <c r="B168" s="2" t="s">
        <v>333</v>
      </c>
      <c r="C168" s="2" t="s">
        <v>334</v>
      </c>
      <c r="D168" s="4">
        <v>1.0</v>
      </c>
      <c r="E168" s="7">
        <f>IF(
  COUNTIFS(active!D:D, A168, active!F:F, "Processed and Borrowed") &gt; D168,
  "Error",
  COUNTIFS(active!D:D, A168, active!F:F, "Processed and Borrowed")
)
</f>
        <v>0</v>
      </c>
      <c r="F168" s="7" t="str">
        <f t="shared" si="1"/>
        <v>Available</v>
      </c>
      <c r="G168" s="9" t="str">
        <f>IFERROR(__xludf.DUMMYFUNCTION("IF(E168&gt;0, MIN(FILTER(active!H:H, (active!D:D = A168) * (active!F:F = ""Processed and Borrowed""))), """")"),"")</f>
        <v/>
      </c>
      <c r="H168" s="7"/>
      <c r="I168" s="7"/>
      <c r="J168" s="7"/>
    </row>
    <row r="169">
      <c r="A169" s="2">
        <v>9.78019285423E12</v>
      </c>
      <c r="B169" s="2" t="s">
        <v>335</v>
      </c>
      <c r="C169" s="2" t="s">
        <v>336</v>
      </c>
      <c r="D169" s="4">
        <v>1.0</v>
      </c>
      <c r="E169" s="7">
        <f>IF(
  COUNTIFS(active!D:D, A169, active!F:F, "Processed and Borrowed") &gt; D169,
  "Error",
  COUNTIFS(active!D:D, A169, active!F:F, "Processed and Borrowed")
)
</f>
        <v>0</v>
      </c>
      <c r="F169" s="7" t="str">
        <f t="shared" si="1"/>
        <v>Available</v>
      </c>
      <c r="G169" s="9" t="str">
        <f>IFERROR(__xludf.DUMMYFUNCTION("IF(E169&gt;0, MIN(FILTER(active!H:H, (active!D:D = A169) * (active!F:F = ""Processed and Borrowed""))), """")"),"")</f>
        <v/>
      </c>
      <c r="H169" s="7"/>
      <c r="I169" s="7"/>
      <c r="J169" s="7"/>
    </row>
    <row r="170">
      <c r="A170" s="2">
        <v>9.780141442433E12</v>
      </c>
      <c r="B170" s="2" t="s">
        <v>337</v>
      </c>
      <c r="C170" s="2" t="s">
        <v>338</v>
      </c>
      <c r="D170" s="4">
        <v>1.0</v>
      </c>
      <c r="E170" s="7">
        <f>IF(
  COUNTIFS(active!D:D, A170, active!F:F, "Processed and Borrowed") &gt; D170,
  "Error",
  COUNTIFS(active!D:D, A170, active!F:F, "Processed and Borrowed")
)
</f>
        <v>0</v>
      </c>
      <c r="F170" s="7" t="str">
        <f t="shared" si="1"/>
        <v>Available</v>
      </c>
      <c r="G170" s="9" t="str">
        <f>IFERROR(__xludf.DUMMYFUNCTION("IF(E170&gt;0, MIN(FILTER(active!H:H, (active!D:D = A170) * (active!F:F = ""Processed and Borrowed""))), """")"),"")</f>
        <v/>
      </c>
      <c r="H170" s="7"/>
      <c r="I170" s="7"/>
      <c r="J170" s="7"/>
    </row>
    <row r="171">
      <c r="A171" s="2">
        <v>9.780199538966E12</v>
      </c>
      <c r="B171" s="2" t="s">
        <v>339</v>
      </c>
      <c r="C171" s="2" t="s">
        <v>340</v>
      </c>
      <c r="D171" s="4">
        <v>1.0</v>
      </c>
      <c r="E171" s="7">
        <f>IF(
  COUNTIFS(active!D:D, A171, active!F:F, "Processed and Borrowed") &gt; D171,
  "Error",
  COUNTIFS(active!D:D, A171, active!F:F, "Processed and Borrowed")
)
</f>
        <v>0</v>
      </c>
      <c r="F171" s="7" t="str">
        <f t="shared" si="1"/>
        <v>Available</v>
      </c>
      <c r="G171" s="9" t="str">
        <f>IFERROR(__xludf.DUMMYFUNCTION("IF(E171&gt;0, MIN(FILTER(active!H:H, (active!D:D = A171) * (active!F:F = ""Processed and Borrowed""))), """")"),"")</f>
        <v/>
      </c>
      <c r="H171" s="7"/>
      <c r="I171" s="7"/>
      <c r="J171" s="7"/>
    </row>
    <row r="172">
      <c r="A172" s="2">
        <v>9.78178576367E12</v>
      </c>
      <c r="B172" s="2" t="s">
        <v>341</v>
      </c>
      <c r="C172" s="2" t="s">
        <v>342</v>
      </c>
      <c r="D172" s="4">
        <v>1.0</v>
      </c>
      <c r="E172" s="7">
        <f>IF(
  COUNTIFS(active!D:D, A172, active!F:F, "Processed and Borrowed") &gt; D172,
  "Error",
  COUNTIFS(active!D:D, A172, active!F:F, "Processed and Borrowed")
)
</f>
        <v>0</v>
      </c>
      <c r="F172" s="7" t="str">
        <f t="shared" si="1"/>
        <v>Available</v>
      </c>
      <c r="G172" s="9" t="str">
        <f>IFERROR(__xludf.DUMMYFUNCTION("IF(E172&gt;0, MIN(FILTER(active!H:H, (active!D:D = A172) * (active!F:F = ""Processed and Borrowed""))), """")"),"")</f>
        <v/>
      </c>
      <c r="H172" s="7"/>
      <c r="I172" s="7"/>
      <c r="J172" s="7"/>
    </row>
    <row r="173">
      <c r="A173" s="2">
        <v>9.78014198887E12</v>
      </c>
      <c r="B173" s="2" t="s">
        <v>343</v>
      </c>
      <c r="C173" s="2" t="s">
        <v>344</v>
      </c>
      <c r="D173" s="4">
        <v>1.0</v>
      </c>
      <c r="E173" s="7">
        <f>IF(
  COUNTIFS(active!D:D, A173, active!F:F, "Processed and Borrowed") &gt; D173,
  "Error",
  COUNTIFS(active!D:D, A173, active!F:F, "Processed and Borrowed")
)
</f>
        <v>0</v>
      </c>
      <c r="F173" s="7" t="str">
        <f t="shared" si="1"/>
        <v>Available</v>
      </c>
      <c r="G173" s="9" t="str">
        <f>IFERROR(__xludf.DUMMYFUNCTION("IF(E173&gt;0, MIN(FILTER(active!H:H, (active!D:D = A173) * (active!F:F = ""Processed and Borrowed""))), """")"),"")</f>
        <v/>
      </c>
      <c r="H173" s="7"/>
      <c r="I173" s="7"/>
      <c r="J173" s="7"/>
    </row>
    <row r="174">
      <c r="A174" s="2">
        <v>9.780007354788E12</v>
      </c>
      <c r="B174" s="2" t="s">
        <v>345</v>
      </c>
      <c r="C174" s="2" t="s">
        <v>346</v>
      </c>
      <c r="D174" s="4">
        <v>1.0</v>
      </c>
      <c r="E174" s="7">
        <f>IF(
  COUNTIFS(active!D:D, A174, active!F:F, "Processed and Borrowed") &gt; D174,
  "Error",
  COUNTIFS(active!D:D, A174, active!F:F, "Processed and Borrowed")
)
</f>
        <v>0</v>
      </c>
      <c r="F174" s="7" t="str">
        <f t="shared" si="1"/>
        <v>Available</v>
      </c>
      <c r="G174" s="9" t="str">
        <f>IFERROR(__xludf.DUMMYFUNCTION("IF(E174&gt;0, MIN(FILTER(active!H:H, (active!D:D = A174) * (active!F:F = ""Processed and Borrowed""))), """")"),"")</f>
        <v/>
      </c>
      <c r="H174" s="7"/>
      <c r="I174" s="7"/>
      <c r="J174" s="7"/>
    </row>
    <row r="175">
      <c r="A175" s="2">
        <v>9.780199535927E12</v>
      </c>
      <c r="B175" s="2" t="s">
        <v>347</v>
      </c>
      <c r="C175" s="2" t="s">
        <v>348</v>
      </c>
      <c r="D175" s="4">
        <v>1.0</v>
      </c>
      <c r="E175" s="7">
        <f>IF(
  COUNTIFS(active!D:D, A175, active!F:F, "Processed and Borrowed") &gt; D175,
  "Error",
  COUNTIFS(active!D:D, A175, active!F:F, "Processed and Borrowed")
)
</f>
        <v>0</v>
      </c>
      <c r="F175" s="7" t="str">
        <f t="shared" si="1"/>
        <v>Available</v>
      </c>
      <c r="G175" s="9" t="str">
        <f>IFERROR(__xludf.DUMMYFUNCTION("IF(E175&gt;0, MIN(FILTER(active!H:H, (active!D:D = A175) * (active!F:F = ""Processed and Borrowed""))), """")"),"")</f>
        <v/>
      </c>
      <c r="H175" s="7"/>
      <c r="I175" s="7"/>
      <c r="J175" s="7"/>
    </row>
    <row r="176">
      <c r="A176" s="2">
        <v>9.780008234188E12</v>
      </c>
      <c r="B176" s="2" t="s">
        <v>349</v>
      </c>
      <c r="C176" s="2" t="s">
        <v>350</v>
      </c>
      <c r="D176" s="4">
        <v>1.0</v>
      </c>
      <c r="E176" s="7">
        <f>IF(
  COUNTIFS(active!D:D, A176, active!F:F, "Processed and Borrowed") &gt; D176,
  "Error",
  COUNTIFS(active!D:D, A176, active!F:F, "Processed and Borrowed")
)
</f>
        <v>0</v>
      </c>
      <c r="F176" s="7" t="str">
        <f t="shared" si="1"/>
        <v>Available</v>
      </c>
      <c r="G176" s="9" t="str">
        <f>IFERROR(__xludf.DUMMYFUNCTION("IF(E176&gt;0, MIN(FILTER(active!H:H, (active!D:D = A176) * (active!F:F = ""Processed and Borrowed""))), """")"),"")</f>
        <v/>
      </c>
      <c r="H176" s="7"/>
      <c r="I176" s="7"/>
      <c r="J176" s="7"/>
    </row>
    <row r="177">
      <c r="A177" s="2">
        <v>9.781471150388E12</v>
      </c>
      <c r="B177" s="2" t="s">
        <v>351</v>
      </c>
      <c r="C177" s="2" t="s">
        <v>352</v>
      </c>
      <c r="D177" s="4">
        <v>1.0</v>
      </c>
      <c r="E177" s="7">
        <f>IF(
  COUNTIFS(active!D:D, A177, active!F:F, "Processed and Borrowed") &gt; D177,
  "Error",
  COUNTIFS(active!D:D, A177, active!F:F, "Processed and Borrowed")
)
</f>
        <v>0</v>
      </c>
      <c r="F177" s="7" t="str">
        <f t="shared" si="1"/>
        <v>Available</v>
      </c>
      <c r="G177" s="9" t="str">
        <f>IFERROR(__xludf.DUMMYFUNCTION("IF(E177&gt;0, MIN(FILTER(active!H:H, (active!D:D = A177) * (active!F:F = ""Processed and Borrowed""))), """")"),"")</f>
        <v/>
      </c>
      <c r="H177" s="7"/>
      <c r="I177" s="7"/>
      <c r="J177" s="7"/>
    </row>
    <row r="178">
      <c r="A178" s="2">
        <v>9.780241986844E12</v>
      </c>
      <c r="B178" s="2" t="s">
        <v>353</v>
      </c>
      <c r="C178" s="2" t="s">
        <v>354</v>
      </c>
      <c r="D178" s="4">
        <v>1.0</v>
      </c>
      <c r="E178" s="7">
        <f>IF(
  COUNTIFS(active!D:D, A178, active!F:F, "Processed and Borrowed") &gt; D178,
  "Error",
  COUNTIFS(active!D:D, A178, active!F:F, "Processed and Borrowed")
)
</f>
        <v>0</v>
      </c>
      <c r="F178" s="7" t="str">
        <f t="shared" si="1"/>
        <v>Available</v>
      </c>
      <c r="G178" s="9" t="str">
        <f>IFERROR(__xludf.DUMMYFUNCTION("IF(E178&gt;0, MIN(FILTER(active!H:H, (active!D:D = A178) * (active!F:F = ""Processed and Borrowed""))), """")"),"")</f>
        <v/>
      </c>
      <c r="H178" s="7"/>
      <c r="I178" s="7"/>
      <c r="J178" s="7"/>
    </row>
    <row r="179">
      <c r="A179" s="2">
        <v>9.780241956182E12</v>
      </c>
      <c r="B179" s="2" t="s">
        <v>355</v>
      </c>
      <c r="C179" s="2" t="s">
        <v>356</v>
      </c>
      <c r="D179" s="4">
        <v>1.0</v>
      </c>
      <c r="E179" s="7">
        <f>IF(
  COUNTIFS(active!D:D, A179, active!F:F, "Processed and Borrowed") &gt; D179,
  "Error",
  COUNTIFS(active!D:D, A179, active!F:F, "Processed and Borrowed")
)
</f>
        <v>0</v>
      </c>
      <c r="F179" s="7" t="str">
        <f t="shared" si="1"/>
        <v>Available</v>
      </c>
      <c r="G179" s="9" t="str">
        <f>IFERROR(__xludf.DUMMYFUNCTION("IF(E179&gt;0, MIN(FILTER(active!H:H, (active!D:D = A179) * (active!F:F = ""Processed and Borrowed""))), """")"),"")</f>
        <v/>
      </c>
      <c r="H179" s="7"/>
      <c r="I179" s="7"/>
      <c r="J179" s="7"/>
    </row>
    <row r="180">
      <c r="A180" s="2">
        <v>9.780141027586E12</v>
      </c>
      <c r="B180" s="2" t="s">
        <v>357</v>
      </c>
      <c r="C180" s="2" t="s">
        <v>358</v>
      </c>
      <c r="D180" s="4">
        <v>1.0</v>
      </c>
      <c r="E180" s="7">
        <f>IF(
  COUNTIFS(active!D:D, A180, active!F:F, "Processed and Borrowed") &gt; D180,
  "Error",
  COUNTIFS(active!D:D, A180, active!F:F, "Processed and Borrowed")
)
</f>
        <v>0</v>
      </c>
      <c r="F180" s="7" t="str">
        <f t="shared" si="1"/>
        <v>Available</v>
      </c>
      <c r="G180" s="9" t="str">
        <f>IFERROR(__xludf.DUMMYFUNCTION("IF(E180&gt;0, MIN(FILTER(active!H:H, (active!D:D = A180) * (active!F:F = ""Processed and Borrowed""))), """")"),"")</f>
        <v/>
      </c>
      <c r="H180" s="7"/>
      <c r="I180" s="7"/>
      <c r="J180" s="7"/>
    </row>
    <row r="181">
      <c r="A181" s="2">
        <v>9.780553824483E12</v>
      </c>
      <c r="B181" s="2" t="s">
        <v>359</v>
      </c>
      <c r="C181" s="2" t="s">
        <v>360</v>
      </c>
      <c r="D181" s="4">
        <v>1.0</v>
      </c>
      <c r="E181" s="7">
        <f>IF(
  COUNTIFS(active!D:D, A181, active!F:F, "Processed and Borrowed") &gt; D181,
  "Error",
  COUNTIFS(active!D:D, A181, active!F:F, "Processed and Borrowed")
)
</f>
        <v>0</v>
      </c>
      <c r="F181" s="7" t="str">
        <f t="shared" si="1"/>
        <v>Available</v>
      </c>
      <c r="G181" s="9" t="str">
        <f>IFERROR(__xludf.DUMMYFUNCTION("IF(E181&gt;0, MIN(FILTER(active!H:H, (active!D:D = A181) * (active!F:F = ""Processed and Borrowed""))), """")"),"")</f>
        <v/>
      </c>
      <c r="H181" s="7"/>
      <c r="I181" s="7"/>
      <c r="J181" s="7"/>
    </row>
    <row r="182">
      <c r="A182" s="2">
        <v>9.780393355628E12</v>
      </c>
      <c r="B182" s="2" t="s">
        <v>361</v>
      </c>
      <c r="C182" s="2" t="s">
        <v>362</v>
      </c>
      <c r="D182" s="4">
        <v>1.0</v>
      </c>
      <c r="E182" s="7">
        <f>IF(
  COUNTIFS(active!D:D, A182, active!F:F, "Processed and Borrowed") &gt; D182,
  "Error",
  COUNTIFS(active!D:D, A182, active!F:F, "Processed and Borrowed")
)
</f>
        <v>0</v>
      </c>
      <c r="F182" s="7" t="str">
        <f t="shared" si="1"/>
        <v>Available</v>
      </c>
      <c r="G182" s="9" t="str">
        <f>IFERROR(__xludf.DUMMYFUNCTION("IF(E182&gt;0, MIN(FILTER(active!H:H, (active!D:D = A182) * (active!F:F = ""Processed and Borrowed""))), """")"),"")</f>
        <v/>
      </c>
      <c r="H182" s="7"/>
      <c r="I182" s="7"/>
      <c r="J182" s="7"/>
    </row>
    <row r="183">
      <c r="A183" s="2">
        <v>9.780743270755E12</v>
      </c>
      <c r="B183" s="2" t="s">
        <v>363</v>
      </c>
      <c r="C183" s="2" t="s">
        <v>262</v>
      </c>
      <c r="D183" s="4">
        <v>1.0</v>
      </c>
      <c r="E183" s="7">
        <f>IF(
  COUNTIFS(active!D:D, A183, active!F:F, "Processed and Borrowed") &gt; D183,
  "Error",
  COUNTIFS(active!D:D, A183, active!F:F, "Processed and Borrowed")
)
</f>
        <v>0</v>
      </c>
      <c r="F183" s="7" t="str">
        <f t="shared" si="1"/>
        <v>Available</v>
      </c>
      <c r="G183" s="9" t="str">
        <f>IFERROR(__xludf.DUMMYFUNCTION("IF(E183&gt;0, MIN(FILTER(active!H:H, (active!D:D = A183) * (active!F:F = ""Processed and Borrowed""))), """")"),"")</f>
        <v/>
      </c>
      <c r="H183" s="7"/>
      <c r="I183" s="7"/>
      <c r="J183" s="7"/>
    </row>
    <row r="184">
      <c r="A184" s="2">
        <v>9.781471166969E12</v>
      </c>
      <c r="B184" s="2" t="s">
        <v>364</v>
      </c>
      <c r="C184" s="2" t="s">
        <v>365</v>
      </c>
      <c r="D184" s="4">
        <v>1.0</v>
      </c>
      <c r="E184" s="7">
        <f>IF(
  COUNTIFS(active!D:D, A184, active!F:F, "Processed and Borrowed") &gt; D184,
  "Error",
  COUNTIFS(active!D:D, A184, active!F:F, "Processed and Borrowed")
)
</f>
        <v>0</v>
      </c>
      <c r="F184" s="7" t="str">
        <f t="shared" si="1"/>
        <v>Available</v>
      </c>
      <c r="G184" s="9" t="str">
        <f>IFERROR(__xludf.DUMMYFUNCTION("IF(E184&gt;0, MIN(FILTER(active!H:H, (active!D:D = A184) * (active!F:F = ""Processed and Borrowed""))), """")"),"")</f>
        <v/>
      </c>
      <c r="H184" s="7"/>
      <c r="I184" s="7"/>
      <c r="J184" s="7"/>
    </row>
    <row r="185">
      <c r="A185" s="2">
        <v>9.781529060096E12</v>
      </c>
      <c r="B185" s="2" t="s">
        <v>366</v>
      </c>
      <c r="C185" s="2" t="s">
        <v>175</v>
      </c>
      <c r="D185" s="4">
        <v>1.0</v>
      </c>
      <c r="E185" s="7">
        <f>IF(
  COUNTIFS(active!D:D, A185, active!F:F, "Processed and Borrowed") &gt; D185,
  "Error",
  COUNTIFS(active!D:D, A185, active!F:F, "Processed and Borrowed")
)
</f>
        <v>0</v>
      </c>
      <c r="F185" s="7" t="str">
        <f t="shared" si="1"/>
        <v>Available</v>
      </c>
      <c r="G185" s="9" t="str">
        <f>IFERROR(__xludf.DUMMYFUNCTION("IF(E185&gt;0, MIN(FILTER(active!H:H, (active!D:D = A185) * (active!F:F = ""Processed and Borrowed""))), """")"),"")</f>
        <v/>
      </c>
      <c r="H185" s="7"/>
      <c r="I185" s="7"/>
      <c r="J185" s="7"/>
    </row>
    <row r="186">
      <c r="A186" s="2">
        <v>9.781473684478E12</v>
      </c>
      <c r="B186" s="2" t="s">
        <v>367</v>
      </c>
      <c r="C186" s="2" t="s">
        <v>87</v>
      </c>
      <c r="D186" s="4">
        <v>1.0</v>
      </c>
      <c r="E186" s="7">
        <f>IF(
  COUNTIFS(active!D:D, A186, active!F:F, "Processed and Borrowed") &gt; D186,
  "Error",
  COUNTIFS(active!D:D, A186, active!F:F, "Processed and Borrowed")
)
</f>
        <v>0</v>
      </c>
      <c r="F186" s="7" t="str">
        <f t="shared" si="1"/>
        <v>Available</v>
      </c>
      <c r="G186" s="9" t="str">
        <f>IFERROR(__xludf.DUMMYFUNCTION("IF(E186&gt;0, MIN(FILTER(active!H:H, (active!D:D = A186) * (active!F:F = ""Processed and Borrowed""))), """")"),"")</f>
        <v/>
      </c>
      <c r="H186" s="7"/>
      <c r="I186" s="7"/>
      <c r="J186" s="7"/>
    </row>
    <row r="187">
      <c r="A187" s="2">
        <v>9.780316334464E12</v>
      </c>
      <c r="B187" s="2" t="s">
        <v>368</v>
      </c>
      <c r="C187" s="2" t="s">
        <v>369</v>
      </c>
      <c r="D187" s="4">
        <v>1.0</v>
      </c>
      <c r="E187" s="7">
        <f>IF(
  COUNTIFS(active!D:D, A187, active!F:F, "Processed and Borrowed") &gt; D187,
  "Error",
  COUNTIFS(active!D:D, A187, active!F:F, "Processed and Borrowed")
)
</f>
        <v>0</v>
      </c>
      <c r="F187" s="7" t="str">
        <f t="shared" si="1"/>
        <v>Available</v>
      </c>
      <c r="G187" s="9" t="str">
        <f>IFERROR(__xludf.DUMMYFUNCTION("IF(E187&gt;0, MIN(FILTER(active!H:H, (active!D:D = A187) * (active!F:F = ""Processed and Borrowed""))), """")"),"")</f>
        <v/>
      </c>
      <c r="H187" s="7"/>
      <c r="I187" s="7"/>
      <c r="J187" s="7"/>
    </row>
    <row r="188">
      <c r="A188" s="2">
        <v>9.780425106877E12</v>
      </c>
      <c r="B188" s="2" t="s">
        <v>370</v>
      </c>
      <c r="C188" s="2" t="s">
        <v>369</v>
      </c>
      <c r="D188" s="4">
        <v>1.0</v>
      </c>
      <c r="E188" s="7">
        <f>IF(
  COUNTIFS(active!D:D, A188, active!F:F, "Processed and Borrowed") &gt; D188,
  "Error",
  COUNTIFS(active!D:D, A188, active!F:F, "Processed and Borrowed")
)
</f>
        <v>0</v>
      </c>
      <c r="F188" s="7" t="str">
        <f t="shared" si="1"/>
        <v>Available</v>
      </c>
      <c r="G188" s="9" t="str">
        <f>IFERROR(__xludf.DUMMYFUNCTION("IF(E188&gt;0, MIN(FILTER(active!H:H, (active!D:D = A188) * (active!F:F = ""Processed and Borrowed""))), """")"),"")</f>
        <v/>
      </c>
      <c r="H188" s="7"/>
      <c r="I188" s="7"/>
      <c r="J188" s="7"/>
    </row>
    <row r="189">
      <c r="A189" s="2">
        <v>9.780751547733E12</v>
      </c>
      <c r="B189" s="2" t="s">
        <v>371</v>
      </c>
      <c r="C189" s="2" t="s">
        <v>372</v>
      </c>
      <c r="D189" s="4">
        <v>1.0</v>
      </c>
      <c r="E189" s="7">
        <f>IF(
  COUNTIFS(active!D:D, A189, active!F:F, "Processed and Borrowed") &gt; D189,
  "Error",
  COUNTIFS(active!D:D, A189, active!F:F, "Processed and Borrowed")
)
</f>
        <v>0</v>
      </c>
      <c r="F189" s="7" t="str">
        <f t="shared" si="1"/>
        <v>Available</v>
      </c>
      <c r="G189" s="9" t="str">
        <f>IFERROR(__xludf.DUMMYFUNCTION("IF(E189&gt;0, MIN(FILTER(active!H:H, (active!D:D = A189) * (active!F:F = ""Processed and Borrowed""))), """")"),"")</f>
        <v/>
      </c>
      <c r="H189" s="7"/>
      <c r="I189" s="7"/>
      <c r="J189" s="7"/>
    </row>
    <row r="190">
      <c r="A190" s="2">
        <v>9.780141439563E12</v>
      </c>
      <c r="B190" s="2" t="s">
        <v>373</v>
      </c>
      <c r="C190" s="2" t="s">
        <v>60</v>
      </c>
      <c r="D190" s="4">
        <v>1.0</v>
      </c>
      <c r="E190" s="7">
        <f>IF(
  COUNTIFS(active!D:D, A190, active!F:F, "Processed and Borrowed") &gt; D190,
  "Error",
  COUNTIFS(active!D:D, A190, active!F:F, "Processed and Borrowed")
)
</f>
        <v>0</v>
      </c>
      <c r="F190" s="7" t="str">
        <f t="shared" si="1"/>
        <v>Available</v>
      </c>
      <c r="G190" s="9" t="str">
        <f>IFERROR(__xludf.DUMMYFUNCTION("IF(E190&gt;0, MIN(FILTER(active!H:H, (active!D:D = A190) * (active!F:F = ""Processed and Borrowed""))), """")"),"")</f>
        <v/>
      </c>
      <c r="H190" s="7"/>
      <c r="I190" s="7"/>
      <c r="J190" s="7"/>
    </row>
    <row r="191">
      <c r="A191" s="2">
        <v>9.780142437247E12</v>
      </c>
      <c r="B191" s="2" t="s">
        <v>374</v>
      </c>
      <c r="C191" s="2" t="s">
        <v>375</v>
      </c>
      <c r="D191" s="4">
        <v>1.0</v>
      </c>
      <c r="E191" s="7">
        <f>IF(
  COUNTIFS(active!D:D, A191, active!F:F, "Processed and Borrowed") &gt; D191,
  "Error",
  COUNTIFS(active!D:D, A191, active!F:F, "Processed and Borrowed")
)
</f>
        <v>0</v>
      </c>
      <c r="F191" s="7" t="str">
        <f t="shared" si="1"/>
        <v>Available</v>
      </c>
      <c r="G191" s="9" t="str">
        <f>IFERROR(__xludf.DUMMYFUNCTION("IF(E191&gt;0, MIN(FILTER(active!H:H, (active!D:D = A191) * (active!F:F = ""Processed and Borrowed""))), """")"),"")</f>
        <v/>
      </c>
      <c r="H191" s="7"/>
      <c r="I191" s="7"/>
      <c r="J191" s="7"/>
    </row>
    <row r="192">
      <c r="A192" s="2">
        <v>9.780199232765E12</v>
      </c>
      <c r="B192" s="2" t="s">
        <v>376</v>
      </c>
      <c r="C192" s="2" t="s">
        <v>377</v>
      </c>
      <c r="D192" s="4">
        <v>1.0</v>
      </c>
      <c r="E192" s="7">
        <f>IF(
  COUNTIFS(active!D:D, A192, active!F:F, "Processed and Borrowed") &gt; D192,
  "Error",
  COUNTIFS(active!D:D, A192, active!F:F, "Processed and Borrowed")
)
</f>
        <v>0</v>
      </c>
      <c r="F192" s="7" t="str">
        <f t="shared" si="1"/>
        <v>Available</v>
      </c>
      <c r="G192" s="9" t="str">
        <f>IFERROR(__xludf.DUMMYFUNCTION("IF(E192&gt;0, MIN(FILTER(active!H:H, (active!D:D = A192) * (active!F:F = ""Processed and Borrowed""))), """")"),"")</f>
        <v/>
      </c>
      <c r="H192" s="7"/>
      <c r="I192" s="7"/>
      <c r="J192" s="7"/>
    </row>
    <row r="193">
      <c r="A193" s="2">
        <v>9.780241597361E12</v>
      </c>
      <c r="B193" s="2" t="s">
        <v>378</v>
      </c>
      <c r="C193" s="2" t="s">
        <v>379</v>
      </c>
      <c r="D193" s="4">
        <v>1.0</v>
      </c>
      <c r="E193" s="7">
        <f>IF(
  COUNTIFS(active!D:D, A193, active!F:F, "Processed and Borrowed") &gt; D193,
  "Error",
  COUNTIFS(active!D:D, A193, active!F:F, "Processed and Borrowed")
)
</f>
        <v>0</v>
      </c>
      <c r="F193" s="7" t="str">
        <f t="shared" si="1"/>
        <v>Available</v>
      </c>
      <c r="G193" s="9" t="str">
        <f>IFERROR(__xludf.DUMMYFUNCTION("IF(E193&gt;0, MIN(FILTER(active!H:H, (active!D:D = A193) * (active!F:F = ""Processed and Borrowed""))), """")"),"")</f>
        <v/>
      </c>
      <c r="H193" s="7"/>
      <c r="I193" s="7"/>
      <c r="J193" s="7"/>
    </row>
    <row r="194">
      <c r="A194" s="2">
        <v>9.780571268832E12</v>
      </c>
      <c r="B194" s="2" t="s">
        <v>380</v>
      </c>
      <c r="C194" s="2" t="s">
        <v>381</v>
      </c>
      <c r="D194" s="4">
        <v>1.0</v>
      </c>
      <c r="E194" s="7">
        <f>IF(
  COUNTIFS(active!D:D, A194, active!F:F, "Processed and Borrowed") &gt; D194,
  "Error",
  COUNTIFS(active!D:D, A194, active!F:F, "Processed and Borrowed")
)
</f>
        <v>0</v>
      </c>
      <c r="F194" s="7" t="str">
        <f t="shared" si="1"/>
        <v>Available</v>
      </c>
      <c r="G194" s="9" t="str">
        <f>IFERROR(__xludf.DUMMYFUNCTION("IF(E194&gt;0, MIN(FILTER(active!H:H, (active!D:D = A194) * (active!F:F = ""Processed and Borrowed""))), """")"),"")</f>
        <v/>
      </c>
      <c r="H194" s="7"/>
      <c r="I194" s="7"/>
      <c r="J194" s="7"/>
    </row>
    <row r="195">
      <c r="A195" s="2">
        <v>9.780571218318E12</v>
      </c>
      <c r="B195" s="2" t="s">
        <v>382</v>
      </c>
      <c r="C195" s="2" t="s">
        <v>381</v>
      </c>
      <c r="D195" s="4">
        <v>1.0</v>
      </c>
      <c r="E195" s="7">
        <f>IF(
  COUNTIFS(active!D:D, A195, active!F:F, "Processed and Borrowed") &gt; D195,
  "Error",
  COUNTIFS(active!D:D, A195, active!F:F, "Processed and Borrowed")
)
</f>
        <v>0</v>
      </c>
      <c r="F195" s="7" t="str">
        <f t="shared" si="1"/>
        <v>Available</v>
      </c>
      <c r="G195" s="9" t="str">
        <f>IFERROR(__xludf.DUMMYFUNCTION("IF(E195&gt;0, MIN(FILTER(active!H:H, (active!D:D = A195) * (active!F:F = ""Processed and Borrowed""))), """")"),"")</f>
        <v/>
      </c>
      <c r="H195" s="7"/>
      <c r="I195" s="7"/>
      <c r="J195" s="7"/>
    </row>
    <row r="196">
      <c r="A196" s="2">
        <v>9.780571237029E12</v>
      </c>
      <c r="B196" s="2" t="s">
        <v>383</v>
      </c>
      <c r="C196" s="2" t="s">
        <v>381</v>
      </c>
      <c r="D196" s="4">
        <v>1.0</v>
      </c>
      <c r="E196" s="7">
        <f>IF(
  COUNTIFS(active!D:D, A196, active!F:F, "Processed and Borrowed") &gt; D196,
  "Error",
  COUNTIFS(active!D:D, A196, active!F:F, "Processed and Borrowed")
)
</f>
        <v>0</v>
      </c>
      <c r="F196" s="7" t="str">
        <f t="shared" si="1"/>
        <v>Available</v>
      </c>
      <c r="G196" s="9" t="str">
        <f>IFERROR(__xludf.DUMMYFUNCTION("IF(E196&gt;0, MIN(FILTER(active!H:H, (active!D:D = A196) * (active!F:F = ""Processed and Borrowed""))), """")"),"")</f>
        <v/>
      </c>
      <c r="H196" s="7"/>
      <c r="I196" s="7"/>
      <c r="J196" s="7"/>
    </row>
    <row r="197">
      <c r="A197" s="2">
        <v>9.780241972908E12</v>
      </c>
      <c r="B197" s="2" t="s">
        <v>384</v>
      </c>
      <c r="C197" s="2" t="s">
        <v>385</v>
      </c>
      <c r="D197" s="4">
        <v>1.0</v>
      </c>
      <c r="E197" s="7">
        <f>IF(
  COUNTIFS(active!D:D, A197, active!F:F, "Processed and Borrowed") &gt; D197,
  "Error",
  COUNTIFS(active!D:D, A197, active!F:F, "Processed and Borrowed")
)
</f>
        <v>0</v>
      </c>
      <c r="F197" s="7" t="str">
        <f t="shared" si="1"/>
        <v>Available</v>
      </c>
      <c r="G197" s="9" t="str">
        <f>IFERROR(__xludf.DUMMYFUNCTION("IF(E197&gt;0, MIN(FILTER(active!H:H, (active!D:D = A197) * (active!F:F = ""Processed and Borrowed""))), """")"),"")</f>
        <v/>
      </c>
      <c r="H197" s="7"/>
      <c r="I197" s="7"/>
      <c r="J197" s="7"/>
    </row>
    <row r="198">
      <c r="A198" s="2">
        <v>9.780241979464E12</v>
      </c>
      <c r="B198" s="2" t="s">
        <v>386</v>
      </c>
      <c r="C198" s="2" t="s">
        <v>385</v>
      </c>
      <c r="D198" s="4">
        <v>1.0</v>
      </c>
      <c r="E198" s="7">
        <f>IF(
  COUNTIFS(active!D:D, A198, active!F:F, "Processed and Borrowed") &gt; D198,
  "Error",
  COUNTIFS(active!D:D, A198, active!F:F, "Processed and Borrowed")
)
</f>
        <v>0</v>
      </c>
      <c r="F198" s="7" t="str">
        <f t="shared" si="1"/>
        <v>Available</v>
      </c>
      <c r="G198" s="9" t="str">
        <f>IFERROR(__xludf.DUMMYFUNCTION("IF(E198&gt;0, MIN(FILTER(active!H:H, (active!D:D = A198) * (active!F:F = ""Processed and Borrowed""))), """")"),"")</f>
        <v/>
      </c>
      <c r="H198" s="7"/>
      <c r="I198" s="7"/>
      <c r="J198" s="7"/>
    </row>
    <row r="199">
      <c r="A199" s="2">
        <v>9.780241972939E12</v>
      </c>
      <c r="B199" s="2" t="s">
        <v>387</v>
      </c>
      <c r="C199" s="2" t="s">
        <v>385</v>
      </c>
      <c r="D199" s="4">
        <v>1.0</v>
      </c>
      <c r="E199" s="7">
        <f>IF(
  COUNTIFS(active!D:D, A199, active!F:F, "Processed and Borrowed") &gt; D199,
  "Error",
  COUNTIFS(active!D:D, A199, active!F:F, "Processed and Borrowed")
)
</f>
        <v>0</v>
      </c>
      <c r="F199" s="7" t="str">
        <f t="shared" si="1"/>
        <v>Available</v>
      </c>
      <c r="G199" s="9" t="str">
        <f>IFERROR(__xludf.DUMMYFUNCTION("IF(E199&gt;0, MIN(FILTER(active!H:H, (active!D:D = A199) * (active!F:F = ""Processed and Borrowed""))), """")"),"")</f>
        <v/>
      </c>
      <c r="H199" s="7"/>
      <c r="I199" s="7"/>
      <c r="J199" s="7"/>
    </row>
    <row r="200">
      <c r="A200" s="2">
        <v>9.781786891709E12</v>
      </c>
      <c r="B200" s="2" t="s">
        <v>388</v>
      </c>
      <c r="C200" s="2" t="s">
        <v>389</v>
      </c>
      <c r="D200" s="4">
        <v>1.0</v>
      </c>
      <c r="E200" s="7">
        <f>IF(
  COUNTIFS(active!D:D, A200, active!F:F, "Processed and Borrowed") &gt; D200,
  "Error",
  COUNTIFS(active!D:D, A200, active!F:F, "Processed and Borrowed")
)
</f>
        <v>0</v>
      </c>
      <c r="F200" s="7" t="str">
        <f t="shared" si="1"/>
        <v>Available</v>
      </c>
      <c r="G200" s="9" t="str">
        <f>IFERROR(__xludf.DUMMYFUNCTION("IF(E200&gt;0, MIN(FILTER(active!H:H, (active!D:D = A200) * (active!F:F = ""Processed and Borrowed""))), """")"),"")</f>
        <v/>
      </c>
      <c r="H200" s="7"/>
      <c r="I200" s="7"/>
      <c r="J200" s="7"/>
    </row>
    <row r="201">
      <c r="A201" s="2">
        <v>9.780241257401E12</v>
      </c>
      <c r="B201" s="2" t="s">
        <v>390</v>
      </c>
      <c r="C201" s="2" t="s">
        <v>391</v>
      </c>
      <c r="D201" s="4">
        <v>1.0</v>
      </c>
      <c r="E201" s="7">
        <f>IF(
  COUNTIFS(active!D:D, A201, active!F:F, "Processed and Borrowed") &gt; D201,
  "Error",
  COUNTIFS(active!D:D, A201, active!F:F, "Processed and Borrowed")
)
</f>
        <v>0</v>
      </c>
      <c r="F201" s="7" t="str">
        <f t="shared" si="1"/>
        <v>Available</v>
      </c>
      <c r="G201" s="9" t="str">
        <f>IFERROR(__xludf.DUMMYFUNCTION("IF(E201&gt;0, MIN(FILTER(active!H:H, (active!D:D = A201) * (active!F:F = ""Processed and Borrowed""))), """")"),"")</f>
        <v/>
      </c>
      <c r="H201" s="7"/>
      <c r="I201" s="7"/>
      <c r="J201" s="7"/>
    </row>
    <row r="202">
      <c r="A202" s="2">
        <v>9.781472139955E12</v>
      </c>
      <c r="B202" s="2" t="s">
        <v>392</v>
      </c>
      <c r="C202" s="2" t="s">
        <v>393</v>
      </c>
      <c r="D202" s="4">
        <v>1.0</v>
      </c>
      <c r="E202" s="7">
        <f>IF(
  COUNTIFS(active!D:D, A202, active!F:F, "Processed and Borrowed") &gt; D202,
  "Error",
  COUNTIFS(active!D:D, A202, active!F:F, "Processed and Borrowed")
)
</f>
        <v>0</v>
      </c>
      <c r="F202" s="7" t="str">
        <f t="shared" si="1"/>
        <v>Available</v>
      </c>
      <c r="G202" s="9" t="str">
        <f>IFERROR(__xludf.DUMMYFUNCTION("IF(E202&gt;0, MIN(FILTER(active!H:H, (active!D:D = A202) * (active!F:F = ""Processed and Borrowed""))), """")"),"")</f>
        <v/>
      </c>
      <c r="H202" s="7"/>
      <c r="I202" s="7"/>
      <c r="J202" s="7"/>
    </row>
    <row r="203">
      <c r="A203" s="2">
        <v>9.781476763491E12</v>
      </c>
      <c r="B203" s="2" t="s">
        <v>394</v>
      </c>
      <c r="C203" s="2" t="s">
        <v>395</v>
      </c>
      <c r="D203" s="4">
        <v>1.0</v>
      </c>
      <c r="E203" s="7">
        <f>IF(
  COUNTIFS(active!D:D, A203, active!F:F, "Processed and Borrowed") &gt; D203,
  "Error",
  COUNTIFS(active!D:D, A203, active!F:F, "Processed and Borrowed")
)
</f>
        <v>0</v>
      </c>
      <c r="F203" s="7" t="str">
        <f t="shared" si="1"/>
        <v>Available</v>
      </c>
      <c r="G203" s="9" t="str">
        <f>IFERROR(__xludf.DUMMYFUNCTION("IF(E203&gt;0, MIN(FILTER(active!H:H, (active!D:D = A203) * (active!F:F = ""Processed and Borrowed""))), """")"),"")</f>
        <v/>
      </c>
      <c r="H203" s="7"/>
      <c r="I203" s="7"/>
      <c r="J203" s="7"/>
    </row>
    <row r="204">
      <c r="A204" s="2">
        <v>9.780465026562E12</v>
      </c>
      <c r="B204" s="2" t="s">
        <v>396</v>
      </c>
      <c r="C204" s="2" t="s">
        <v>397</v>
      </c>
      <c r="D204" s="4">
        <v>1.0</v>
      </c>
      <c r="E204" s="7">
        <f>IF(
  COUNTIFS(active!D:D, A204, active!F:F, "Processed and Borrowed") &gt; D204,
  "Error",
  COUNTIFS(active!D:D, A204, active!F:F, "Processed and Borrowed")
)
</f>
        <v>0</v>
      </c>
      <c r="F204" s="7" t="str">
        <f t="shared" si="1"/>
        <v>Available</v>
      </c>
      <c r="G204" s="9" t="str">
        <f>IFERROR(__xludf.DUMMYFUNCTION("IF(E204&gt;0, MIN(FILTER(active!H:H, (active!D:D = A204) * (active!F:F = ""Processed and Borrowed""))), """")"),"")</f>
        <v/>
      </c>
      <c r="H204" s="7"/>
      <c r="I204" s="7"/>
      <c r="J204" s="7"/>
    </row>
    <row r="205">
      <c r="A205" s="2">
        <v>9.781786071033E12</v>
      </c>
      <c r="B205" s="2" t="s">
        <v>398</v>
      </c>
      <c r="C205" s="2" t="s">
        <v>399</v>
      </c>
      <c r="D205" s="4">
        <v>1.0</v>
      </c>
      <c r="E205" s="7">
        <f>IF(
  COUNTIFS(active!D:D, A205, active!F:F, "Processed and Borrowed") &gt; D205,
  "Error",
  COUNTIFS(active!D:D, A205, active!F:F, "Processed and Borrowed")
)
</f>
        <v>0</v>
      </c>
      <c r="F205" s="7" t="str">
        <f t="shared" si="1"/>
        <v>Available</v>
      </c>
      <c r="G205" s="9" t="str">
        <f>IFERROR(__xludf.DUMMYFUNCTION("IF(E205&gt;0, MIN(FILTER(active!H:H, (active!D:D = A205) * (active!F:F = ""Processed and Borrowed""))), """")"),"")</f>
        <v/>
      </c>
      <c r="H205" s="7"/>
      <c r="I205" s="7"/>
      <c r="J205" s="7"/>
    </row>
    <row r="206">
      <c r="A206" s="2">
        <v>9.780141044248E12</v>
      </c>
      <c r="B206" s="2" t="s">
        <v>400</v>
      </c>
      <c r="C206" s="2" t="s">
        <v>401</v>
      </c>
      <c r="D206" s="4">
        <v>1.0</v>
      </c>
      <c r="E206" s="7">
        <f>IF(
  COUNTIFS(active!D:D, A206, active!F:F, "Processed and Borrowed") &gt; D206,
  "Error",
  COUNTIFS(active!D:D, A206, active!F:F, "Processed and Borrowed")
)
</f>
        <v>0</v>
      </c>
      <c r="F206" s="7" t="str">
        <f t="shared" si="1"/>
        <v>Available</v>
      </c>
      <c r="G206" s="9" t="str">
        <f>IFERROR(__xludf.DUMMYFUNCTION("IF(E206&gt;0, MIN(FILTER(active!H:H, (active!D:D = A206) * (active!F:F = ""Processed and Borrowed""))), """")"),"")</f>
        <v/>
      </c>
      <c r="H206" s="7"/>
      <c r="I206" s="7"/>
      <c r="J206" s="7"/>
    </row>
    <row r="207">
      <c r="A207" s="2">
        <v>9.780008172039E12</v>
      </c>
      <c r="B207" s="2" t="s">
        <v>402</v>
      </c>
      <c r="C207" s="2" t="s">
        <v>403</v>
      </c>
      <c r="D207" s="4">
        <v>1.0</v>
      </c>
      <c r="E207" s="7">
        <f>IF(
  COUNTIFS(active!D:D, A207, active!F:F, "Processed and Borrowed") &gt; D207,
  "Error",
  COUNTIFS(active!D:D, A207, active!F:F, "Processed and Borrowed")
)
</f>
        <v>0</v>
      </c>
      <c r="F207" s="7" t="str">
        <f t="shared" si="1"/>
        <v>Available</v>
      </c>
      <c r="G207" s="9" t="str">
        <f>IFERROR(__xludf.DUMMYFUNCTION("IF(E207&gt;0, MIN(FILTER(active!H:H, (active!D:D = A207) * (active!F:F = ""Processed and Borrowed""))), """")"),"")</f>
        <v/>
      </c>
      <c r="H207" s="7"/>
      <c r="I207" s="7"/>
      <c r="J207" s="7"/>
    </row>
    <row r="208">
      <c r="A208" s="2">
        <v>9.780586091715E12</v>
      </c>
      <c r="B208" s="2" t="s">
        <v>404</v>
      </c>
      <c r="C208" s="2" t="s">
        <v>405</v>
      </c>
      <c r="D208" s="4">
        <v>1.0</v>
      </c>
      <c r="E208" s="7">
        <f>IF(
  COUNTIFS(active!D:D, A208, active!F:F, "Processed and Borrowed") &gt; D208,
  "Error",
  COUNTIFS(active!D:D, A208, active!F:F, "Processed and Borrowed")
)
</f>
        <v>0</v>
      </c>
      <c r="F208" s="7" t="str">
        <f t="shared" si="1"/>
        <v>Available</v>
      </c>
      <c r="G208" s="9" t="str">
        <f>IFERROR(__xludf.DUMMYFUNCTION("IF(E208&gt;0, MIN(FILTER(active!H:H, (active!D:D = A208) * (active!F:F = ""Processed and Borrowed""))), """")"),"")</f>
        <v/>
      </c>
      <c r="H208" s="7"/>
      <c r="I208" s="7"/>
      <c r="J208" s="7"/>
    </row>
    <row r="209">
      <c r="A209" s="2">
        <v>9.780140128673E12</v>
      </c>
      <c r="B209" s="2" t="s">
        <v>406</v>
      </c>
      <c r="C209" s="2" t="s">
        <v>407</v>
      </c>
      <c r="D209" s="4">
        <v>1.0</v>
      </c>
      <c r="E209" s="7">
        <f>IF(
  COUNTIFS(active!D:D, A209, active!F:F, "Processed and Borrowed") &gt; D209,
  "Error",
  COUNTIFS(active!D:D, A209, active!F:F, "Processed and Borrowed")
)
</f>
        <v>0</v>
      </c>
      <c r="F209" s="7" t="str">
        <f t="shared" si="1"/>
        <v>Available</v>
      </c>
      <c r="G209" s="9" t="str">
        <f>IFERROR(__xludf.DUMMYFUNCTION("IF(E209&gt;0, MIN(FILTER(active!H:H, (active!D:D = A209) * (active!F:F = ""Processed and Borrowed""))), """")"),"")</f>
        <v/>
      </c>
      <c r="H209" s="7"/>
      <c r="I209" s="7"/>
      <c r="J209" s="7"/>
    </row>
    <row r="210">
      <c r="A210" s="2">
        <v>9.780141991955E12</v>
      </c>
      <c r="B210" s="2" t="s">
        <v>408</v>
      </c>
      <c r="C210" s="2" t="s">
        <v>409</v>
      </c>
      <c r="D210" s="4">
        <v>1.0</v>
      </c>
      <c r="E210" s="7">
        <f>IF(
  COUNTIFS(active!D:D, A210, active!F:F, "Processed and Borrowed") &gt; D210,
  "Error",
  COUNTIFS(active!D:D, A210, active!F:F, "Processed and Borrowed")
)
</f>
        <v>0</v>
      </c>
      <c r="F210" s="7" t="str">
        <f t="shared" si="1"/>
        <v>Available</v>
      </c>
      <c r="G210" s="9" t="str">
        <f>IFERROR(__xludf.DUMMYFUNCTION("IF(E210&gt;0, MIN(FILTER(active!H:H, (active!D:D = A210) * (active!F:F = ""Processed and Borrowed""))), """")"),"")</f>
        <v/>
      </c>
      <c r="H210" s="7"/>
      <c r="I210" s="7"/>
      <c r="J210" s="7"/>
    </row>
    <row r="211">
      <c r="A211" s="2">
        <v>9.780198784883E12</v>
      </c>
      <c r="B211" s="2" t="s">
        <v>410</v>
      </c>
      <c r="C211" s="2" t="s">
        <v>411</v>
      </c>
      <c r="D211" s="4">
        <v>1.0</v>
      </c>
      <c r="E211" s="7">
        <f>IF(
  COUNTIFS(active!D:D, A211, active!F:F, "Processed and Borrowed") &gt; D211,
  "Error",
  COUNTIFS(active!D:D, A211, active!F:F, "Processed and Borrowed")
)
</f>
        <v>0</v>
      </c>
      <c r="F211" s="7" t="str">
        <f t="shared" si="1"/>
        <v>Available</v>
      </c>
      <c r="G211" s="9" t="str">
        <f>IFERROR(__xludf.DUMMYFUNCTION("IF(E211&gt;0, MIN(FILTER(active!H:H, (active!D:D = A211) * (active!F:F = ""Processed and Borrowed""))), """")"),"")</f>
        <v/>
      </c>
      <c r="H211" s="7"/>
      <c r="I211" s="7"/>
      <c r="J211" s="7"/>
    </row>
    <row r="212">
      <c r="A212" s="2">
        <v>9.780393312768E12</v>
      </c>
      <c r="B212" s="2" t="s">
        <v>412</v>
      </c>
      <c r="C212" s="2" t="s">
        <v>413</v>
      </c>
      <c r="D212" s="4">
        <v>1.0</v>
      </c>
      <c r="E212" s="7">
        <f>IF(
  COUNTIFS(active!D:D, A212, active!F:F, "Processed and Borrowed") &gt; D212,
  "Error",
  COUNTIFS(active!D:D, A212, active!F:F, "Processed and Borrowed")
)
</f>
        <v>0</v>
      </c>
      <c r="F212" s="7" t="str">
        <f t="shared" si="1"/>
        <v>Available</v>
      </c>
      <c r="G212" s="9" t="str">
        <f>IFERROR(__xludf.DUMMYFUNCTION("IF(E212&gt;0, MIN(FILTER(active!H:H, (active!D:D = A212) * (active!F:F = ""Processed and Borrowed""))), """")"),"")</f>
        <v/>
      </c>
      <c r="H212" s="7"/>
      <c r="I212" s="7"/>
      <c r="J212" s="7"/>
    </row>
    <row r="213">
      <c r="A213" s="2">
        <v>9.780008543211E12</v>
      </c>
      <c r="B213" s="2" t="s">
        <v>414</v>
      </c>
      <c r="C213" s="2" t="s">
        <v>10</v>
      </c>
      <c r="D213" s="4">
        <v>1.0</v>
      </c>
      <c r="E213" s="7">
        <f>IF(
  COUNTIFS(active!D:D, A213, active!F:F, "Processed and Borrowed") &gt; D213,
  "Error",
  COUNTIFS(active!D:D, A213, active!F:F, "Processed and Borrowed")
)
</f>
        <v>0</v>
      </c>
      <c r="F213" s="7" t="str">
        <f t="shared" si="1"/>
        <v>Available</v>
      </c>
      <c r="G213" s="9" t="str">
        <f>IFERROR(__xludf.DUMMYFUNCTION("IF(E213&gt;0, MIN(FILTER(active!H:H, (active!D:D = A213) * (active!F:F = ""Processed and Borrowed""))), """")"),"")</f>
        <v/>
      </c>
      <c r="H213" s="7"/>
      <c r="I213" s="7"/>
      <c r="J213" s="7"/>
    </row>
    <row r="214">
      <c r="A214" s="2">
        <v>9.781781808313E12</v>
      </c>
      <c r="B214" s="2" t="s">
        <v>415</v>
      </c>
      <c r="C214" s="2" t="s">
        <v>416</v>
      </c>
      <c r="D214" s="4">
        <v>1.0</v>
      </c>
      <c r="E214" s="7">
        <f>IF(
  COUNTIFS(active!D:D, A214, active!F:F, "Processed and Borrowed") &gt; D214,
  "Error",
  COUNTIFS(active!D:D, A214, active!F:F, "Processed and Borrowed")
)
</f>
        <v>0</v>
      </c>
      <c r="F214" s="7" t="str">
        <f t="shared" si="1"/>
        <v>Available</v>
      </c>
      <c r="G214" s="9" t="str">
        <f>IFERROR(__xludf.DUMMYFUNCTION("IF(E214&gt;0, MIN(FILTER(active!H:H, (active!D:D = A214) * (active!F:F = ""Processed and Borrowed""))), """")"),"")</f>
        <v/>
      </c>
      <c r="H214" s="7"/>
      <c r="I214" s="7"/>
      <c r="J214" s="7"/>
    </row>
    <row r="215">
      <c r="A215" s="2">
        <v>9.781594771811E12</v>
      </c>
      <c r="B215" s="2" t="s">
        <v>417</v>
      </c>
      <c r="C215" s="2" t="s">
        <v>418</v>
      </c>
      <c r="D215" s="4">
        <v>1.0</v>
      </c>
      <c r="E215" s="7">
        <f>IF(
  COUNTIFS(active!D:D, A215, active!F:F, "Processed and Borrowed") &gt; D215,
  "Error",
  COUNTIFS(active!D:D, A215, active!F:F, "Processed and Borrowed")
)
</f>
        <v>0</v>
      </c>
      <c r="F215" s="7" t="str">
        <f t="shared" si="1"/>
        <v>Available</v>
      </c>
      <c r="G215" s="9" t="str">
        <f>IFERROR(__xludf.DUMMYFUNCTION("IF(E215&gt;0, MIN(FILTER(active!H:H, (active!D:D = A215) * (active!F:F = ""Processed and Borrowed""))), """")"),"")</f>
        <v/>
      </c>
      <c r="H215" s="7"/>
      <c r="I215" s="7"/>
      <c r="J215" s="7"/>
    </row>
    <row r="216">
      <c r="A216" s="2">
        <v>9.781848508569E12</v>
      </c>
      <c r="B216" s="2" t="s">
        <v>419</v>
      </c>
      <c r="C216" s="2" t="s">
        <v>416</v>
      </c>
      <c r="D216" s="4">
        <v>1.0</v>
      </c>
      <c r="E216" s="7">
        <f>IF(
  COUNTIFS(active!D:D, A216, active!F:F, "Processed and Borrowed") &gt; D216,
  "Error",
  COUNTIFS(active!D:D, A216, active!F:F, "Processed and Borrowed")
)
</f>
        <v>0</v>
      </c>
      <c r="F216" s="7" t="str">
        <f t="shared" si="1"/>
        <v>Available</v>
      </c>
      <c r="G216" s="9" t="str">
        <f>IFERROR(__xludf.DUMMYFUNCTION("IF(E216&gt;0, MIN(FILTER(active!H:H, (active!D:D = A216) * (active!F:F = ""Processed and Borrowed""))), """")"),"")</f>
        <v/>
      </c>
      <c r="H216" s="7"/>
      <c r="I216" s="7"/>
      <c r="J216" s="7"/>
    </row>
    <row r="217">
      <c r="A217" s="2">
        <v>9.780261103344E12</v>
      </c>
      <c r="B217" s="2" t="s">
        <v>420</v>
      </c>
      <c r="C217" s="2" t="s">
        <v>421</v>
      </c>
      <c r="D217" s="4">
        <v>1.0</v>
      </c>
      <c r="E217" s="7">
        <f>IF(
  COUNTIFS(active!D:D, A217, active!F:F, "Processed and Borrowed") &gt; D217,
  "Error",
  COUNTIFS(active!D:D, A217, active!F:F, "Processed and Borrowed")
)
</f>
        <v>0</v>
      </c>
      <c r="F217" s="7" t="str">
        <f t="shared" si="1"/>
        <v>Available</v>
      </c>
      <c r="G217" s="9" t="str">
        <f>IFERROR(__xludf.DUMMYFUNCTION("IF(E217&gt;0, MIN(FILTER(active!H:H, (active!D:D = A217) * (active!F:F = ""Processed and Borrowed""))), """")"),"")</f>
        <v/>
      </c>
      <c r="H217" s="7"/>
      <c r="I217" s="7"/>
      <c r="J217" s="7"/>
    </row>
    <row r="218">
      <c r="A218" s="2">
        <v>9.780747266839E12</v>
      </c>
      <c r="B218" s="2" t="s">
        <v>422</v>
      </c>
      <c r="C218" s="2" t="s">
        <v>423</v>
      </c>
      <c r="D218" s="4">
        <v>1.0</v>
      </c>
      <c r="E218" s="7">
        <f>IF(
  COUNTIFS(active!D:D, A218, active!F:F, "Processed and Borrowed") &gt; D218,
  "Error",
  COUNTIFS(active!D:D, A218, active!F:F, "Processed and Borrowed")
)
</f>
        <v>0</v>
      </c>
      <c r="F218" s="7" t="str">
        <f t="shared" si="1"/>
        <v>Available</v>
      </c>
      <c r="G218" s="9" t="str">
        <f>IFERROR(__xludf.DUMMYFUNCTION("IF(E218&gt;0, MIN(FILTER(active!H:H, (active!D:D = A218) * (active!F:F = ""Processed and Borrowed""))), """")"),"")</f>
        <v/>
      </c>
      <c r="H218" s="7"/>
      <c r="I218" s="7"/>
      <c r="J218" s="7"/>
    </row>
    <row r="219">
      <c r="A219" s="2">
        <v>9.78000654489E12</v>
      </c>
      <c r="B219" s="2" t="s">
        <v>424</v>
      </c>
      <c r="C219" s="2" t="s">
        <v>425</v>
      </c>
      <c r="D219" s="4">
        <v>1.0</v>
      </c>
      <c r="E219" s="7">
        <f>IF(
  COUNTIFS(active!D:D, A219, active!F:F, "Processed and Borrowed") &gt; D219,
  "Error",
  COUNTIFS(active!D:D, A219, active!F:F, "Processed and Borrowed")
)
</f>
        <v>0</v>
      </c>
      <c r="F219" s="7" t="str">
        <f t="shared" si="1"/>
        <v>Available</v>
      </c>
      <c r="G219" s="9" t="str">
        <f>IFERROR(__xludf.DUMMYFUNCTION("IF(E219&gt;0, MIN(FILTER(active!H:H, (active!D:D = A219) * (active!F:F = ""Processed and Borrowed""))), """")"),"")</f>
        <v/>
      </c>
      <c r="H219" s="7"/>
      <c r="I219" s="7"/>
      <c r="J219" s="7"/>
    </row>
    <row r="220">
      <c r="A220" s="2">
        <v>9.780751569575E12</v>
      </c>
      <c r="B220" s="2" t="s">
        <v>426</v>
      </c>
      <c r="C220" s="2" t="s">
        <v>427</v>
      </c>
      <c r="D220" s="4">
        <v>1.0</v>
      </c>
      <c r="E220" s="7">
        <f>IF(
  COUNTIFS(active!D:D, A220, active!F:F, "Processed and Borrowed") &gt; D220,
  "Error",
  COUNTIFS(active!D:D, A220, active!F:F, "Processed and Borrowed")
)
</f>
        <v>0</v>
      </c>
      <c r="F220" s="7" t="str">
        <f t="shared" si="1"/>
        <v>Available</v>
      </c>
      <c r="G220" s="9" t="str">
        <f>IFERROR(__xludf.DUMMYFUNCTION("IF(E220&gt;0, MIN(FILTER(active!H:H, (active!D:D = A220) * (active!F:F = ""Processed and Borrowed""))), """")"),"")</f>
        <v/>
      </c>
      <c r="H220" s="7"/>
      <c r="I220" s="7"/>
      <c r="J220" s="7"/>
    </row>
    <row r="221">
      <c r="A221" s="2">
        <v>9.781612680507E12</v>
      </c>
      <c r="B221" s="2" t="s">
        <v>428</v>
      </c>
      <c r="C221" s="2" t="s">
        <v>429</v>
      </c>
      <c r="D221" s="4">
        <v>1.0</v>
      </c>
      <c r="E221" s="7">
        <f>IF(
  COUNTIFS(active!D:D, A221, active!F:F, "Processed and Borrowed") &gt; D221,
  "Error",
  COUNTIFS(active!D:D, A221, active!F:F, "Processed and Borrowed")
)
</f>
        <v>0</v>
      </c>
      <c r="F221" s="7" t="str">
        <f t="shared" si="1"/>
        <v>Available</v>
      </c>
      <c r="G221" s="9" t="str">
        <f>IFERROR(__xludf.DUMMYFUNCTION("IF(E221&gt;0, MIN(FILTER(active!H:H, (active!D:D = A221) * (active!F:F = ""Processed and Borrowed""))), """")"),"")</f>
        <v/>
      </c>
      <c r="H221" s="7"/>
      <c r="I221" s="7"/>
      <c r="J221" s="7"/>
    </row>
    <row r="222">
      <c r="A222" s="2">
        <v>9.780937611012E12</v>
      </c>
      <c r="B222" s="2" t="s">
        <v>430</v>
      </c>
      <c r="C222" s="2" t="s">
        <v>431</v>
      </c>
      <c r="D222" s="4">
        <v>1.0</v>
      </c>
      <c r="E222" s="7">
        <f>IF(
  COUNTIFS(active!D:D, A222, active!F:F, "Processed and Borrowed") &gt; D222,
  "Error",
  COUNTIFS(active!D:D, A222, active!F:F, "Processed and Borrowed")
)
</f>
        <v>0</v>
      </c>
      <c r="F222" s="7" t="str">
        <f t="shared" si="1"/>
        <v>Available</v>
      </c>
      <c r="G222" s="9" t="str">
        <f>IFERROR(__xludf.DUMMYFUNCTION("IF(E222&gt;0, MIN(FILTER(active!H:H, (active!D:D = A222) * (active!F:F = ""Processed and Borrowed""))), """")"),"")</f>
        <v/>
      </c>
      <c r="H222" s="7"/>
      <c r="I222" s="7"/>
      <c r="J222" s="7"/>
    </row>
    <row r="223">
      <c r="A223" s="2">
        <v>9.781847376466E12</v>
      </c>
      <c r="B223" s="2" t="s">
        <v>432</v>
      </c>
      <c r="C223" s="2" t="s">
        <v>433</v>
      </c>
      <c r="D223" s="4">
        <v>1.0</v>
      </c>
      <c r="E223" s="7">
        <f>IF(
  COUNTIFS(active!D:D, A223, active!F:F, "Processed and Borrowed") &gt; D223,
  "Error",
  COUNTIFS(active!D:D, A223, active!F:F, "Processed and Borrowed")
)
</f>
        <v>0</v>
      </c>
      <c r="F223" s="7" t="str">
        <f t="shared" si="1"/>
        <v>Available</v>
      </c>
      <c r="G223" s="9" t="str">
        <f>IFERROR(__xludf.DUMMYFUNCTION("IF(E223&gt;0, MIN(FILTER(active!H:H, (active!D:D = A223) * (active!F:F = ""Processed and Borrowed""))), """")"),"")</f>
        <v/>
      </c>
      <c r="H223" s="7"/>
      <c r="I223" s="7"/>
      <c r="J223" s="7"/>
    </row>
    <row r="224">
      <c r="A224" s="2">
        <v>9.781444775815E12</v>
      </c>
      <c r="B224" s="2" t="s">
        <v>434</v>
      </c>
      <c r="C224" s="2" t="s">
        <v>435</v>
      </c>
      <c r="D224" s="4">
        <v>1.0</v>
      </c>
      <c r="E224" s="7">
        <f>IF(
  COUNTIFS(active!D:D, A224, active!F:F, "Processed and Borrowed") &gt; D224,
  "Error",
  COUNTIFS(active!D:D, A224, active!F:F, "Processed and Borrowed")
)
</f>
        <v>0</v>
      </c>
      <c r="F224" s="7" t="str">
        <f t="shared" si="1"/>
        <v>Available</v>
      </c>
      <c r="G224" s="9" t="str">
        <f>IFERROR(__xludf.DUMMYFUNCTION("IF(E224&gt;0, MIN(FILTER(active!H:H, (active!D:D = A224) * (active!F:F = ""Processed and Borrowed""))), """")"),"")</f>
        <v/>
      </c>
      <c r="H224" s="7"/>
      <c r="I224" s="7"/>
      <c r="J224" s="7"/>
    </row>
    <row r="225">
      <c r="A225" s="2">
        <v>9.781473223677E12</v>
      </c>
      <c r="B225" s="2" t="s">
        <v>436</v>
      </c>
      <c r="C225" s="2" t="s">
        <v>437</v>
      </c>
      <c r="D225" s="4">
        <v>1.0</v>
      </c>
      <c r="E225" s="7">
        <f>IF(
  COUNTIFS(active!D:D, A225, active!F:F, "Processed and Borrowed") &gt; D225,
  "Error",
  COUNTIFS(active!D:D, A225, active!F:F, "Processed and Borrowed")
)
</f>
        <v>0</v>
      </c>
      <c r="F225" s="7" t="str">
        <f t="shared" si="1"/>
        <v>Available</v>
      </c>
      <c r="G225" s="9" t="str">
        <f>IFERROR(__xludf.DUMMYFUNCTION("IF(E225&gt;0, MIN(FILTER(active!H:H, (active!D:D = A225) * (active!F:F = ""Processed and Borrowed""))), """")"),"")</f>
        <v/>
      </c>
      <c r="H225" s="7"/>
      <c r="I225" s="7"/>
      <c r="J225" s="7"/>
    </row>
    <row r="226">
      <c r="A226" s="2">
        <v>9.781473635302E12</v>
      </c>
      <c r="B226" s="2" t="s">
        <v>438</v>
      </c>
      <c r="C226" s="2" t="s">
        <v>439</v>
      </c>
      <c r="D226" s="4">
        <v>1.0</v>
      </c>
      <c r="E226" s="7">
        <f>IF(
  COUNTIFS(active!D:D, A226, active!F:F, "Processed and Borrowed") &gt; D226,
  "Error",
  COUNTIFS(active!D:D, A226, active!F:F, "Processed and Borrowed")
)
</f>
        <v>0</v>
      </c>
      <c r="F226" s="7" t="str">
        <f t="shared" si="1"/>
        <v>Available</v>
      </c>
      <c r="G226" s="9" t="str">
        <f>IFERROR(__xludf.DUMMYFUNCTION("IF(E226&gt;0, MIN(FILTER(active!H:H, (active!D:D = A226) * (active!F:F = ""Processed and Borrowed""))), """")"),"")</f>
        <v/>
      </c>
      <c r="H226" s="7"/>
      <c r="I226" s="7"/>
      <c r="J226" s="7"/>
    </row>
    <row r="227">
      <c r="A227" s="2">
        <v>9.781473695993E12</v>
      </c>
      <c r="B227" s="2" t="s">
        <v>440</v>
      </c>
      <c r="C227" s="2" t="s">
        <v>28</v>
      </c>
      <c r="D227" s="4">
        <v>1.0</v>
      </c>
      <c r="E227" s="7">
        <f>IF(
  COUNTIFS(active!D:D, A227, active!F:F, "Processed and Borrowed") &gt; D227,
  "Error",
  COUNTIFS(active!D:D, A227, active!F:F, "Processed and Borrowed")
)
</f>
        <v>0</v>
      </c>
      <c r="F227" s="7" t="str">
        <f t="shared" si="1"/>
        <v>Available</v>
      </c>
      <c r="G227" s="9" t="str">
        <f>IFERROR(__xludf.DUMMYFUNCTION("IF(E227&gt;0, MIN(FILTER(active!H:H, (active!D:D = A227) * (active!F:F = ""Processed and Borrowed""))), """")"),"")</f>
        <v/>
      </c>
      <c r="H227" s="7"/>
      <c r="I227" s="7"/>
      <c r="J227" s="7"/>
    </row>
    <row r="228">
      <c r="A228" s="2">
        <v>9.780575094185E12</v>
      </c>
      <c r="B228" s="2" t="s">
        <v>441</v>
      </c>
      <c r="C228" s="2" t="s">
        <v>442</v>
      </c>
      <c r="D228" s="4">
        <v>1.0</v>
      </c>
      <c r="E228" s="7">
        <f>IF(
  COUNTIFS(active!D:D, A228, active!F:F, "Processed and Borrowed") &gt; D228,
  "Error",
  COUNTIFS(active!D:D, A228, active!F:F, "Processed and Borrowed")
)
</f>
        <v>0</v>
      </c>
      <c r="F228" s="7" t="str">
        <f t="shared" si="1"/>
        <v>Available</v>
      </c>
      <c r="G228" s="9" t="str">
        <f>IFERROR(__xludf.DUMMYFUNCTION("IF(E228&gt;0, MIN(FILTER(active!H:H, (active!D:D = A228) * (active!F:F = ""Processed and Borrowed""))), """")"),"")</f>
        <v/>
      </c>
      <c r="H228" s="7"/>
      <c r="I228" s="7"/>
      <c r="J228" s="7"/>
    </row>
    <row r="229">
      <c r="A229" s="2">
        <v>9.781399608992E12</v>
      </c>
      <c r="B229" s="2" t="s">
        <v>443</v>
      </c>
      <c r="C229" s="2" t="s">
        <v>444</v>
      </c>
      <c r="D229" s="4">
        <v>1.0</v>
      </c>
      <c r="E229" s="7">
        <f>IF(
  COUNTIFS(active!D:D, A229, active!F:F, "Processed and Borrowed") &gt; D229,
  "Error",
  COUNTIFS(active!D:D, A229, active!F:F, "Processed and Borrowed")
)
</f>
        <v>0</v>
      </c>
      <c r="F229" s="7" t="str">
        <f t="shared" si="1"/>
        <v>Available</v>
      </c>
      <c r="G229" s="9" t="str">
        <f>IFERROR(__xludf.DUMMYFUNCTION("IF(E229&gt;0, MIN(FILTER(active!H:H, (active!D:D = A229) * (active!F:F = ""Processed and Borrowed""))), """")"),"")</f>
        <v/>
      </c>
      <c r="H229" s="7"/>
      <c r="I229" s="7"/>
      <c r="J229" s="7"/>
    </row>
    <row r="230">
      <c r="A230" s="2">
        <v>9.780552169585E12</v>
      </c>
      <c r="B230" s="2" t="s">
        <v>445</v>
      </c>
      <c r="C230" s="2" t="s">
        <v>132</v>
      </c>
      <c r="D230" s="4">
        <v>1.0</v>
      </c>
      <c r="E230" s="7">
        <f>IF(
  COUNTIFS(active!D:D, A230, active!F:F, "Processed and Borrowed") &gt; D230,
  "Error",
  COUNTIFS(active!D:D, A230, active!F:F, "Processed and Borrowed")
)
</f>
        <v>0</v>
      </c>
      <c r="F230" s="7" t="str">
        <f t="shared" si="1"/>
        <v>Available</v>
      </c>
      <c r="G230" s="9" t="str">
        <f>IFERROR(__xludf.DUMMYFUNCTION("IF(E230&gt;0, MIN(FILTER(active!H:H, (active!D:D = A230) * (active!F:F = ""Processed and Borrowed""))), """")"),"")</f>
        <v/>
      </c>
      <c r="H230" s="7"/>
      <c r="I230" s="7"/>
      <c r="J230" s="7"/>
    </row>
    <row r="231">
      <c r="A231" s="2">
        <v>9.781529386691E12</v>
      </c>
      <c r="B231" s="2" t="s">
        <v>446</v>
      </c>
      <c r="C231" s="2" t="s">
        <v>447</v>
      </c>
      <c r="D231" s="4">
        <v>1.0</v>
      </c>
      <c r="E231" s="7">
        <f>IF(
  COUNTIFS(active!D:D, A231, active!F:F, "Processed and Borrowed") &gt; D231,
  "Error",
  COUNTIFS(active!D:D, A231, active!F:F, "Processed and Borrowed")
)
</f>
        <v>0</v>
      </c>
      <c r="F231" s="7" t="str">
        <f t="shared" si="1"/>
        <v>Available</v>
      </c>
      <c r="G231" s="9" t="str">
        <f>IFERROR(__xludf.DUMMYFUNCTION("IF(E231&gt;0, MIN(FILTER(active!H:H, (active!D:D = A231) * (active!F:F = ""Processed and Borrowed""))), """")"),"")</f>
        <v/>
      </c>
      <c r="H231" s="7"/>
      <c r="I231" s="7"/>
      <c r="J231" s="7"/>
    </row>
    <row r="232">
      <c r="A232" s="2">
        <v>9.780755349302E12</v>
      </c>
      <c r="B232" s="2" t="s">
        <v>448</v>
      </c>
      <c r="C232" s="2" t="s">
        <v>449</v>
      </c>
      <c r="D232" s="4">
        <v>1.0</v>
      </c>
      <c r="E232" s="7">
        <f>IF(
  COUNTIFS(active!D:D, A232, active!F:F, "Processed and Borrowed") &gt; D232,
  "Error",
  COUNTIFS(active!D:D, A232, active!F:F, "Processed and Borrowed")
)
</f>
        <v>0</v>
      </c>
      <c r="F232" s="7" t="str">
        <f t="shared" si="1"/>
        <v>Available</v>
      </c>
      <c r="G232" s="9" t="str">
        <f>IFERROR(__xludf.DUMMYFUNCTION("IF(E232&gt;0, MIN(FILTER(active!H:H, (active!D:D = A232) * (active!F:F = ""Processed and Borrowed""))), """")"),"")</f>
        <v/>
      </c>
      <c r="H232" s="7"/>
      <c r="I232" s="7"/>
      <c r="J232" s="7"/>
    </row>
    <row r="233">
      <c r="A233" s="2">
        <v>9.781444759563E12</v>
      </c>
      <c r="B233" s="2" t="s">
        <v>450</v>
      </c>
      <c r="C233" s="2" t="s">
        <v>451</v>
      </c>
      <c r="D233" s="4">
        <v>1.0</v>
      </c>
      <c r="E233" s="7">
        <f>IF(
  COUNTIFS(active!D:D, A233, active!F:F, "Processed and Borrowed") &gt; D233,
  "Error",
  COUNTIFS(active!D:D, A233, active!F:F, "Processed and Borrowed")
)
</f>
        <v>0</v>
      </c>
      <c r="F233" s="7" t="str">
        <f t="shared" si="1"/>
        <v>Available</v>
      </c>
      <c r="G233" s="9" t="str">
        <f>IFERROR(__xludf.DUMMYFUNCTION("IF(E233&gt;0, MIN(FILTER(active!H:H, (active!D:D = A233) * (active!F:F = ""Processed and Borrowed""))), """")"),"")</f>
        <v/>
      </c>
      <c r="H233" s="7"/>
      <c r="I233" s="7"/>
      <c r="J233" s="7"/>
    </row>
    <row r="234">
      <c r="A234" s="2">
        <v>9.78140916786E12</v>
      </c>
      <c r="B234" s="2" t="s">
        <v>452</v>
      </c>
      <c r="C234" s="2" t="s">
        <v>453</v>
      </c>
      <c r="D234" s="4">
        <v>1.0</v>
      </c>
      <c r="E234" s="7">
        <f>IF(
  COUNTIFS(active!D:D, A234, active!F:F, "Processed and Borrowed") &gt; D234,
  "Error",
  COUNTIFS(active!D:D, A234, active!F:F, "Processed and Borrowed")
)
</f>
        <v>0</v>
      </c>
      <c r="F234" s="7" t="str">
        <f t="shared" si="1"/>
        <v>Available</v>
      </c>
      <c r="G234" s="9" t="str">
        <f>IFERROR(__xludf.DUMMYFUNCTION("IF(E234&gt;0, MIN(FILTER(active!H:H, (active!D:D = A234) * (active!F:F = ""Processed and Borrowed""))), """")"),"")</f>
        <v/>
      </c>
      <c r="H234" s="7"/>
      <c r="I234" s="7"/>
      <c r="J234" s="7"/>
    </row>
    <row r="235">
      <c r="A235" s="2">
        <v>9.781409189602E12</v>
      </c>
      <c r="B235" s="2" t="s">
        <v>454</v>
      </c>
      <c r="C235" s="2" t="s">
        <v>455</v>
      </c>
      <c r="D235" s="4">
        <v>1.0</v>
      </c>
      <c r="E235" s="7">
        <f>IF(
  COUNTIFS(active!D:D, A235, active!F:F, "Processed and Borrowed") &gt; D235,
  "Error",
  COUNTIFS(active!D:D, A235, active!F:F, "Processed and Borrowed")
)
</f>
        <v>0</v>
      </c>
      <c r="F235" s="7" t="str">
        <f t="shared" si="1"/>
        <v>Available</v>
      </c>
      <c r="G235" s="9" t="str">
        <f>IFERROR(__xludf.DUMMYFUNCTION("IF(E235&gt;0, MIN(FILTER(active!H:H, (active!D:D = A235) * (active!F:F = ""Processed and Borrowed""))), """")"),"")</f>
        <v/>
      </c>
      <c r="H235" s="7"/>
      <c r="I235" s="7"/>
      <c r="J235" s="7"/>
    </row>
    <row r="236">
      <c r="A236" s="2">
        <v>9.781473228412E12</v>
      </c>
      <c r="B236" s="2" t="s">
        <v>456</v>
      </c>
      <c r="C236" s="2" t="s">
        <v>457</v>
      </c>
      <c r="D236" s="4">
        <v>1.0</v>
      </c>
      <c r="E236" s="7">
        <f>IF(
  COUNTIFS(active!D:D, A236, active!F:F, "Processed and Borrowed") &gt; D236,
  "Error",
  COUNTIFS(active!D:D, A236, active!F:F, "Processed and Borrowed")
)
</f>
        <v>0</v>
      </c>
      <c r="F236" s="7" t="str">
        <f t="shared" si="1"/>
        <v>Available</v>
      </c>
      <c r="G236" s="9" t="str">
        <f>IFERROR(__xludf.DUMMYFUNCTION("IF(E236&gt;0, MIN(FILTER(active!H:H, (active!D:D = A236) * (active!F:F = ""Processed and Borrowed""))), """")"),"")</f>
        <v/>
      </c>
      <c r="H236" s="7"/>
      <c r="I236" s="7"/>
      <c r="J236" s="7"/>
    </row>
    <row r="237">
      <c r="A237" s="2">
        <v>9.780552779777E12</v>
      </c>
      <c r="B237" s="2" t="s">
        <v>458</v>
      </c>
      <c r="C237" s="2" t="s">
        <v>459</v>
      </c>
      <c r="D237" s="4">
        <v>1.0</v>
      </c>
      <c r="E237" s="7">
        <f>IF(
  COUNTIFS(active!D:D, A237, active!F:F, "Processed and Borrowed") &gt; D237,
  "Error",
  COUNTIFS(active!D:D, A237, active!F:F, "Processed and Borrowed")
)
</f>
        <v>0</v>
      </c>
      <c r="F237" s="7" t="str">
        <f t="shared" si="1"/>
        <v>Available</v>
      </c>
      <c r="G237" s="9" t="str">
        <f>IFERROR(__xludf.DUMMYFUNCTION("IF(E237&gt;0, MIN(FILTER(active!H:H, (active!D:D = A237) * (active!F:F = ""Processed and Borrowed""))), """")"),"")</f>
        <v/>
      </c>
      <c r="H237" s="7"/>
      <c r="I237" s="7"/>
      <c r="J237" s="7"/>
    </row>
    <row r="238">
      <c r="A238" s="2">
        <v>9.781529432404E12</v>
      </c>
      <c r="B238" s="2" t="s">
        <v>460</v>
      </c>
      <c r="C238" s="2" t="s">
        <v>103</v>
      </c>
      <c r="D238" s="4">
        <v>1.0</v>
      </c>
      <c r="E238" s="7">
        <f>IF(
  COUNTIFS(active!D:D, A238, active!F:F, "Processed and Borrowed") &gt; D238,
  "Error",
  COUNTIFS(active!D:D, A238, active!F:F, "Processed and Borrowed")
)
</f>
        <v>0</v>
      </c>
      <c r="F238" s="7" t="str">
        <f t="shared" si="1"/>
        <v>Available</v>
      </c>
      <c r="G238" s="9" t="str">
        <f>IFERROR(__xludf.DUMMYFUNCTION("IF(E238&gt;0, MIN(FILTER(active!H:H, (active!D:D = A238) * (active!F:F = ""Processed and Borrowed""))), """")"),"")</f>
        <v/>
      </c>
      <c r="H238" s="7"/>
      <c r="I238" s="7"/>
      <c r="J238" s="7"/>
    </row>
    <row r="239">
      <c r="A239" s="2">
        <v>9.78184408182E12</v>
      </c>
      <c r="B239" s="2" t="s">
        <v>461</v>
      </c>
      <c r="C239" s="2" t="s">
        <v>462</v>
      </c>
      <c r="D239" s="4">
        <v>1.0</v>
      </c>
      <c r="E239" s="7">
        <f>IF(
  COUNTIFS(active!D:D, A239, active!F:F, "Processed and Borrowed") &gt; D239,
  "Error",
  COUNTIFS(active!D:D, A239, active!F:F, "Processed and Borrowed")
)
</f>
        <v>0</v>
      </c>
      <c r="F239" s="7" t="str">
        <f t="shared" si="1"/>
        <v>Available</v>
      </c>
      <c r="G239" s="9" t="str">
        <f>IFERROR(__xludf.DUMMYFUNCTION("IF(E239&gt;0, MIN(FILTER(active!H:H, (active!D:D = A239) * (active!F:F = ""Processed and Borrowed""))), """")"),"")</f>
        <v/>
      </c>
      <c r="H239" s="7"/>
      <c r="I239" s="7"/>
      <c r="J239" s="7"/>
    </row>
    <row r="240">
      <c r="A240" s="2">
        <v>9.781845296445E12</v>
      </c>
      <c r="B240" s="2" t="s">
        <v>463</v>
      </c>
      <c r="C240" s="2" t="s">
        <v>464</v>
      </c>
      <c r="D240" s="4">
        <v>1.0</v>
      </c>
      <c r="E240" s="7">
        <f>IF(
  COUNTIFS(active!D:D, A240, active!F:F, "Processed and Borrowed") &gt; D240,
  "Error",
  COUNTIFS(active!D:D, A240, active!F:F, "Processed and Borrowed")
)
</f>
        <v>0</v>
      </c>
      <c r="F240" s="7" t="str">
        <f t="shared" si="1"/>
        <v>Available</v>
      </c>
      <c r="G240" s="9" t="str">
        <f>IFERROR(__xludf.DUMMYFUNCTION("IF(E240&gt;0, MIN(FILTER(active!H:H, (active!D:D = A240) * (active!F:F = ""Processed and Borrowed""))), """")"),"")</f>
        <v/>
      </c>
      <c r="H240" s="7"/>
      <c r="I240" s="7"/>
      <c r="J240" s="7"/>
    </row>
    <row r="241">
      <c r="A241" s="2">
        <v>9.781472155368E12</v>
      </c>
      <c r="B241" s="2" t="s">
        <v>465</v>
      </c>
      <c r="C241" s="2" t="s">
        <v>466</v>
      </c>
      <c r="D241" s="4">
        <v>1.0</v>
      </c>
      <c r="E241" s="7">
        <f>IF(
  COUNTIFS(active!D:D, A241, active!F:F, "Processed and Borrowed") &gt; D241,
  "Error",
  COUNTIFS(active!D:D, A241, active!F:F, "Processed and Borrowed")
)
</f>
        <v>0</v>
      </c>
      <c r="F241" s="7" t="str">
        <f t="shared" si="1"/>
        <v>Available</v>
      </c>
      <c r="G241" s="9" t="str">
        <f>IFERROR(__xludf.DUMMYFUNCTION("IF(E241&gt;0, MIN(FILTER(active!H:H, (active!D:D = A241) * (active!F:F = ""Processed and Borrowed""))), """")"),"")</f>
        <v/>
      </c>
      <c r="H241" s="7"/>
      <c r="I241" s="7"/>
      <c r="J241" s="7"/>
    </row>
    <row r="242">
      <c r="A242" s="2">
        <v>9.781409157403E12</v>
      </c>
      <c r="B242" s="2" t="s">
        <v>467</v>
      </c>
      <c r="C242" s="2" t="s">
        <v>468</v>
      </c>
      <c r="D242" s="4">
        <v>1.0</v>
      </c>
      <c r="E242" s="7">
        <f>IF(
  COUNTIFS(active!D:D, A242, active!F:F, "Processed and Borrowed") &gt; D242,
  "Error",
  COUNTIFS(active!D:D, A242, active!F:F, "Processed and Borrowed")
)
</f>
        <v>0</v>
      </c>
      <c r="F242" s="7" t="str">
        <f t="shared" si="1"/>
        <v>Available</v>
      </c>
      <c r="G242" s="9" t="str">
        <f>IFERROR(__xludf.DUMMYFUNCTION("IF(E242&gt;0, MIN(FILTER(active!H:H, (active!D:D = A242) * (active!F:F = ""Processed and Borrowed""))), """")"),"")</f>
        <v/>
      </c>
      <c r="H242" s="7"/>
      <c r="I242" s="7"/>
      <c r="J242" s="7"/>
    </row>
    <row r="243">
      <c r="A243" s="2">
        <v>9.781474609883E12</v>
      </c>
      <c r="B243" s="2" t="s">
        <v>469</v>
      </c>
      <c r="C243" s="2" t="s">
        <v>470</v>
      </c>
      <c r="D243" s="4">
        <v>1.0</v>
      </c>
      <c r="E243" s="7">
        <f>IF(
  COUNTIFS(active!D:D, A243, active!F:F, "Processed and Borrowed") &gt; D243,
  "Error",
  COUNTIFS(active!D:D, A243, active!F:F, "Processed and Borrowed")
)
</f>
        <v>0</v>
      </c>
      <c r="F243" s="7" t="str">
        <f t="shared" si="1"/>
        <v>Available</v>
      </c>
      <c r="G243" s="9" t="str">
        <f>IFERROR(__xludf.DUMMYFUNCTION("IF(E243&gt;0, MIN(FILTER(active!H:H, (active!D:D = A243) * (active!F:F = ""Processed and Borrowed""))), """")"),"")</f>
        <v/>
      </c>
      <c r="H243" s="7"/>
      <c r="I243" s="7"/>
      <c r="J243" s="7"/>
    </row>
    <row r="244">
      <c r="A244" s="2">
        <v>9.781780720371E12</v>
      </c>
      <c r="B244" s="2" t="s">
        <v>471</v>
      </c>
      <c r="C244" s="2" t="s">
        <v>472</v>
      </c>
      <c r="D244" s="4">
        <v>1.0</v>
      </c>
      <c r="E244" s="7">
        <f>IF(
  COUNTIFS(active!D:D, A244, active!F:F, "Processed and Borrowed") &gt; D244,
  "Error",
  COUNTIFS(active!D:D, A244, active!F:F, "Processed and Borrowed")
)
</f>
        <v>0</v>
      </c>
      <c r="F244" s="7" t="str">
        <f t="shared" si="1"/>
        <v>Available</v>
      </c>
      <c r="G244" s="9" t="str">
        <f>IFERROR(__xludf.DUMMYFUNCTION("IF(E244&gt;0, MIN(FILTER(active!H:H, (active!D:D = A244) * (active!F:F = ""Processed and Borrowed""))), """")"),"")</f>
        <v/>
      </c>
      <c r="H244" s="7"/>
      <c r="I244" s="7"/>
      <c r="J244" s="7"/>
    </row>
    <row r="245">
      <c r="A245" s="2">
        <v>9.780575094192E12</v>
      </c>
      <c r="B245" s="2" t="s">
        <v>473</v>
      </c>
      <c r="C245" s="2" t="s">
        <v>474</v>
      </c>
      <c r="D245" s="4">
        <v>1.0</v>
      </c>
      <c r="E245" s="7">
        <f>IF(
  COUNTIFS(active!D:D, A245, active!F:F, "Processed and Borrowed") &gt; D245,
  "Error",
  COUNTIFS(active!D:D, A245, active!F:F, "Processed and Borrowed")
)
</f>
        <v>0</v>
      </c>
      <c r="F245" s="7" t="str">
        <f t="shared" si="1"/>
        <v>Available</v>
      </c>
      <c r="G245" s="9" t="str">
        <f>IFERROR(__xludf.DUMMYFUNCTION("IF(E245&gt;0, MIN(FILTER(active!H:H, (active!D:D = A245) * (active!F:F = ""Processed and Borrowed""))), """")"),"")</f>
        <v/>
      </c>
      <c r="H245" s="7"/>
      <c r="I245" s="7"/>
      <c r="J245" s="7"/>
    </row>
    <row r="246">
      <c r="A246" s="2">
        <v>9.780316679077E12</v>
      </c>
      <c r="B246" s="2" t="s">
        <v>475</v>
      </c>
      <c r="C246" s="2" t="s">
        <v>276</v>
      </c>
      <c r="D246" s="4">
        <v>1.0</v>
      </c>
      <c r="E246" s="7">
        <f>IF(
  COUNTIFS(active!D:D, A246, active!F:F, "Processed and Borrowed") &gt; D246,
  "Error",
  COUNTIFS(active!D:D, A246, active!F:F, "Processed and Borrowed")
)
</f>
        <v>0</v>
      </c>
      <c r="F246" s="7" t="str">
        <f t="shared" si="1"/>
        <v>Available</v>
      </c>
      <c r="G246" s="9" t="str">
        <f>IFERROR(__xludf.DUMMYFUNCTION("IF(E246&gt;0, MIN(FILTER(active!H:H, (active!D:D = A246) * (active!F:F = ""Processed and Borrowed""))), """")"),"")</f>
        <v/>
      </c>
      <c r="H246" s="7"/>
      <c r="I246" s="7"/>
      <c r="J246" s="7"/>
    </row>
    <row r="247">
      <c r="A247" s="2">
        <v>9.780349119854E12</v>
      </c>
      <c r="B247" s="2" t="s">
        <v>476</v>
      </c>
      <c r="C247" s="2" t="s">
        <v>477</v>
      </c>
      <c r="D247" s="4">
        <v>1.0</v>
      </c>
      <c r="E247" s="7">
        <f>IF(
  COUNTIFS(active!D:D, A247, active!F:F, "Processed and Borrowed") &gt; D247,
  "Error",
  COUNTIFS(active!D:D, A247, active!F:F, "Processed and Borrowed")
)
</f>
        <v>0</v>
      </c>
      <c r="F247" s="7" t="str">
        <f t="shared" si="1"/>
        <v>Available</v>
      </c>
      <c r="G247" s="9" t="str">
        <f>IFERROR(__xludf.DUMMYFUNCTION("IF(E247&gt;0, MIN(FILTER(active!H:H, (active!D:D = A247) * (active!F:F = ""Processed and Borrowed""))), """")"),"")</f>
        <v/>
      </c>
      <c r="H247" s="7"/>
      <c r="I247" s="7"/>
      <c r="J247" s="7"/>
    </row>
    <row r="248">
      <c r="A248" s="2">
        <v>9.781572245372E12</v>
      </c>
      <c r="B248" s="2" t="s">
        <v>478</v>
      </c>
      <c r="C248" s="2" t="s">
        <v>479</v>
      </c>
      <c r="D248" s="4">
        <v>1.0</v>
      </c>
      <c r="E248" s="7">
        <f>IF(
  COUNTIFS(active!D:D, A248, active!F:F, "Processed and Borrowed") &gt; D248,
  "Error",
  COUNTIFS(active!D:D, A248, active!F:F, "Processed and Borrowed")
)
</f>
        <v>0</v>
      </c>
      <c r="F248" s="7" t="str">
        <f t="shared" si="1"/>
        <v>Available</v>
      </c>
      <c r="G248" s="9" t="str">
        <f>IFERROR(__xludf.DUMMYFUNCTION("IF(E248&gt;0, MIN(FILTER(active!H:H, (active!D:D = A248) * (active!F:F = ""Processed and Borrowed""))), """")"),"")</f>
        <v/>
      </c>
      <c r="H248" s="7"/>
      <c r="I248" s="7"/>
      <c r="J248" s="7"/>
    </row>
    <row r="249">
      <c r="A249" s="2">
        <v>9.780356500546E12</v>
      </c>
      <c r="B249" s="2" t="s">
        <v>480</v>
      </c>
      <c r="C249" s="2" t="s">
        <v>481</v>
      </c>
      <c r="D249" s="4">
        <v>1.0</v>
      </c>
      <c r="E249" s="7">
        <f>IF(
  COUNTIFS(active!D:D, A249, active!F:F, "Processed and Borrowed") &gt; D249,
  "Error",
  COUNTIFS(active!D:D, A249, active!F:F, "Processed and Borrowed")
)
</f>
        <v>0</v>
      </c>
      <c r="F249" s="7" t="str">
        <f t="shared" si="1"/>
        <v>Available</v>
      </c>
      <c r="G249" s="9" t="str">
        <f>IFERROR(__xludf.DUMMYFUNCTION("IF(E249&gt;0, MIN(FILTER(active!H:H, (active!D:D = A249) * (active!F:F = ""Processed and Borrowed""))), """")"),"")</f>
        <v/>
      </c>
      <c r="H249" s="7"/>
      <c r="I249" s="7"/>
      <c r="J249" s="7"/>
    </row>
    <row r="250">
      <c r="A250" s="2">
        <v>9.780356500539E12</v>
      </c>
      <c r="B250" s="2" t="s">
        <v>482</v>
      </c>
      <c r="C250" s="2" t="s">
        <v>481</v>
      </c>
      <c r="D250" s="4">
        <v>1.0</v>
      </c>
      <c r="E250" s="7">
        <f>IF(
  COUNTIFS(active!D:D, A250, active!F:F, "Processed and Borrowed") &gt; D250,
  "Error",
  COUNTIFS(active!D:D, A250, active!F:F, "Processed and Borrowed")
)
</f>
        <v>0</v>
      </c>
      <c r="F250" s="7" t="str">
        <f t="shared" si="1"/>
        <v>Available</v>
      </c>
      <c r="G250" s="9" t="str">
        <f>IFERROR(__xludf.DUMMYFUNCTION("IF(E250&gt;0, MIN(FILTER(active!H:H, (active!D:D = A250) * (active!F:F = ""Processed and Borrowed""))), """")"),"")</f>
        <v/>
      </c>
      <c r="H250" s="7"/>
      <c r="I250" s="7"/>
      <c r="J250" s="7"/>
    </row>
    <row r="251">
      <c r="A251" s="2">
        <v>9.781472154668E12</v>
      </c>
      <c r="B251" s="2" t="s">
        <v>483</v>
      </c>
      <c r="C251" s="2" t="s">
        <v>484</v>
      </c>
      <c r="D251" s="4">
        <v>1.0</v>
      </c>
      <c r="E251" s="7">
        <f>IF(
  COUNTIFS(active!D:D, A251, active!F:F, "Processed and Borrowed") &gt; D251,
  "Error",
  COUNTIFS(active!D:D, A251, active!F:F, "Processed and Borrowed")
)
</f>
        <v>0</v>
      </c>
      <c r="F251" s="7" t="str">
        <f t="shared" si="1"/>
        <v>Available</v>
      </c>
      <c r="G251" s="9" t="str">
        <f>IFERROR(__xludf.DUMMYFUNCTION("IF(E251&gt;0, MIN(FILTER(active!H:H, (active!D:D = A251) * (active!F:F = ""Processed and Borrowed""))), """")"),"")</f>
        <v/>
      </c>
      <c r="H251" s="7"/>
      <c r="I251" s="7"/>
      <c r="J251" s="7"/>
    </row>
    <row r="252">
      <c r="A252" s="2">
        <v>9.781472258229E12</v>
      </c>
      <c r="B252" s="2" t="s">
        <v>485</v>
      </c>
      <c r="C252" s="2" t="s">
        <v>486</v>
      </c>
      <c r="D252" s="4">
        <v>1.0</v>
      </c>
      <c r="E252" s="7">
        <f>IF(
  COUNTIFS(active!D:D, A252, active!F:F, "Processed and Borrowed") &gt; D252,
  "Error",
  COUNTIFS(active!D:D, A252, active!F:F, "Processed and Borrowed")
)
</f>
        <v>0</v>
      </c>
      <c r="F252" s="7" t="str">
        <f t="shared" si="1"/>
        <v>Available</v>
      </c>
      <c r="G252" s="9" t="str">
        <f>IFERROR(__xludf.DUMMYFUNCTION("IF(E252&gt;0, MIN(FILTER(active!H:H, (active!D:D = A252) * (active!F:F = ""Processed and Borrowed""))), """")"),"")</f>
        <v/>
      </c>
      <c r="H252" s="7"/>
      <c r="I252" s="7"/>
      <c r="J252" s="7"/>
    </row>
    <row r="253">
      <c r="A253" s="2">
        <v>9.780356500843E12</v>
      </c>
      <c r="B253" s="2" t="s">
        <v>487</v>
      </c>
      <c r="C253" s="2" t="s">
        <v>488</v>
      </c>
      <c r="D253" s="4">
        <v>1.0</v>
      </c>
      <c r="E253" s="7">
        <f>IF(
  COUNTIFS(active!D:D, A253, active!F:F, "Processed and Borrowed") &gt; D253,
  "Error",
  COUNTIFS(active!D:D, A253, active!F:F, "Processed and Borrowed")
)
</f>
        <v>0</v>
      </c>
      <c r="F253" s="7" t="str">
        <f t="shared" si="1"/>
        <v>Available</v>
      </c>
      <c r="G253" s="9" t="str">
        <f>IFERROR(__xludf.DUMMYFUNCTION("IF(E253&gt;0, MIN(FILTER(active!H:H, (active!D:D = A253) * (active!F:F = ""Processed and Borrowed""))), """")"),"")</f>
        <v/>
      </c>
      <c r="H253" s="7"/>
      <c r="I253" s="7"/>
      <c r="J253" s="7"/>
    </row>
    <row r="254">
      <c r="A254" s="2">
        <v>9.781785031137E12</v>
      </c>
      <c r="B254" s="2" t="s">
        <v>489</v>
      </c>
      <c r="C254" s="2" t="s">
        <v>490</v>
      </c>
      <c r="D254" s="4">
        <v>1.0</v>
      </c>
      <c r="E254" s="7">
        <f>IF(
  COUNTIFS(active!D:D, A254, active!F:F, "Processed and Borrowed") &gt; D254,
  "Error",
  COUNTIFS(active!D:D, A254, active!F:F, "Processed and Borrowed")
)
</f>
        <v>0</v>
      </c>
      <c r="F254" s="7" t="str">
        <f t="shared" si="1"/>
        <v>Available</v>
      </c>
      <c r="G254" s="9" t="str">
        <f>IFERROR(__xludf.DUMMYFUNCTION("IF(E254&gt;0, MIN(FILTER(active!H:H, (active!D:D = A254) * (active!F:F = ""Processed and Borrowed""))), """")"),"")</f>
        <v/>
      </c>
      <c r="H254" s="7"/>
      <c r="I254" s="7"/>
      <c r="J254" s="7"/>
    </row>
    <row r="255">
      <c r="A255" s="2">
        <v>9.78075382221E12</v>
      </c>
      <c r="B255" s="2" t="s">
        <v>491</v>
      </c>
      <c r="C255" s="2" t="s">
        <v>96</v>
      </c>
      <c r="D255" s="4">
        <v>1.0</v>
      </c>
      <c r="E255" s="7">
        <f>IF(
  COUNTIFS(active!D:D, A255, active!F:F, "Processed and Borrowed") &gt; D255,
  "Error",
  COUNTIFS(active!D:D, A255, active!F:F, "Processed and Borrowed")
)
</f>
        <v>0</v>
      </c>
      <c r="F255" s="7" t="str">
        <f t="shared" si="1"/>
        <v>Available</v>
      </c>
      <c r="G255" s="9" t="str">
        <f>IFERROR(__xludf.DUMMYFUNCTION("IF(E255&gt;0, MIN(FILTER(active!H:H, (active!D:D = A255) * (active!F:F = ""Processed and Borrowed""))), """")"),"")</f>
        <v/>
      </c>
      <c r="H255" s="7"/>
      <c r="I255" s="7"/>
      <c r="J255" s="7"/>
    </row>
    <row r="256">
      <c r="A256" s="2">
        <v>9.78184767083E12</v>
      </c>
      <c r="B256" s="2" t="s">
        <v>492</v>
      </c>
      <c r="C256" s="2" t="s">
        <v>493</v>
      </c>
      <c r="D256" s="4">
        <v>1.0</v>
      </c>
      <c r="E256" s="7">
        <f>IF(
  COUNTIFS(active!D:D, A256, active!F:F, "Processed and Borrowed") &gt; D256,
  "Error",
  COUNTIFS(active!D:D, A256, active!F:F, "Processed and Borrowed")
)
</f>
        <v>0</v>
      </c>
      <c r="F256" s="7" t="str">
        <f t="shared" si="1"/>
        <v>Available</v>
      </c>
      <c r="G256" s="9" t="str">
        <f>IFERROR(__xludf.DUMMYFUNCTION("IF(E256&gt;0, MIN(FILTER(active!H:H, (active!D:D = A256) * (active!F:F = ""Processed and Borrowed""))), """")"),"")</f>
        <v/>
      </c>
      <c r="H256" s="7"/>
      <c r="I256" s="7"/>
      <c r="J256" s="7"/>
    </row>
    <row r="257">
      <c r="A257" s="2">
        <v>9.780099537038E12</v>
      </c>
      <c r="B257" s="2" t="s">
        <v>494</v>
      </c>
      <c r="C257" s="2" t="s">
        <v>87</v>
      </c>
      <c r="D257" s="4">
        <v>1.0</v>
      </c>
      <c r="E257" s="7">
        <f>IF(
  COUNTIFS(active!D:D, A257, active!F:F, "Processed and Borrowed") &gt; D257,
  "Error",
  COUNTIFS(active!D:D, A257, active!F:F, "Processed and Borrowed")
)
</f>
        <v>0</v>
      </c>
      <c r="F257" s="7" t="str">
        <f t="shared" si="1"/>
        <v>Available</v>
      </c>
      <c r="G257" s="9" t="str">
        <f>IFERROR(__xludf.DUMMYFUNCTION("IF(E257&gt;0, MIN(FILTER(active!H:H, (active!D:D = A257) * (active!F:F = ""Processed and Borrowed""))), """")"),"")</f>
        <v/>
      </c>
      <c r="H257" s="7"/>
      <c r="I257" s="7"/>
      <c r="J257" s="7"/>
    </row>
    <row r="258">
      <c r="A258" s="2">
        <v>9.781848549562E12</v>
      </c>
      <c r="B258" s="2" t="s">
        <v>495</v>
      </c>
      <c r="C258" s="2" t="s">
        <v>496</v>
      </c>
      <c r="D258" s="4">
        <v>1.0</v>
      </c>
      <c r="E258" s="7">
        <f>IF(
  COUNTIFS(active!D:D, A258, active!F:F, "Processed and Borrowed") &gt; D258,
  "Error",
  COUNTIFS(active!D:D, A258, active!F:F, "Processed and Borrowed")
)
</f>
        <v>0</v>
      </c>
      <c r="F258" s="7" t="str">
        <f t="shared" si="1"/>
        <v>Available</v>
      </c>
      <c r="G258" s="9" t="str">
        <f>IFERROR(__xludf.DUMMYFUNCTION("IF(E258&gt;0, MIN(FILTER(active!H:H, (active!D:D = A258) * (active!F:F = ""Processed and Borrowed""))), """")"),"")</f>
        <v/>
      </c>
      <c r="H258" s="7"/>
      <c r="I258" s="7"/>
      <c r="J258" s="7"/>
    </row>
    <row r="259">
      <c r="A259" s="2">
        <v>9.780575081406E12</v>
      </c>
      <c r="B259" s="2" t="s">
        <v>497</v>
      </c>
      <c r="C259" s="2" t="s">
        <v>498</v>
      </c>
      <c r="D259" s="4">
        <v>1.0</v>
      </c>
      <c r="E259" s="7">
        <f>IF(
  COUNTIFS(active!D:D, A259, active!F:F, "Processed and Borrowed") &gt; D259,
  "Error",
  COUNTIFS(active!D:D, A259, active!F:F, "Processed and Borrowed")
)
</f>
        <v>0</v>
      </c>
      <c r="F259" s="7" t="str">
        <f t="shared" si="1"/>
        <v>Available</v>
      </c>
      <c r="G259" s="9" t="str">
        <f>IFERROR(__xludf.DUMMYFUNCTION("IF(E259&gt;0, MIN(FILTER(active!H:H, (active!D:D = A259) * (active!F:F = ""Processed and Borrowed""))), """")"),"")</f>
        <v/>
      </c>
      <c r="H259" s="7"/>
      <c r="I259" s="7"/>
      <c r="J259" s="7"/>
    </row>
    <row r="260">
      <c r="A260" s="2">
        <v>9.781784702762E12</v>
      </c>
      <c r="B260" s="2" t="s">
        <v>499</v>
      </c>
      <c r="C260" s="2" t="s">
        <v>500</v>
      </c>
      <c r="D260" s="4">
        <v>1.0</v>
      </c>
      <c r="E260" s="7">
        <f>IF(
  COUNTIFS(active!D:D, A260, active!F:F, "Processed and Borrowed") &gt; D260,
  "Error",
  COUNTIFS(active!D:D, A260, active!F:F, "Processed and Borrowed")
)
</f>
        <v>0</v>
      </c>
      <c r="F260" s="7" t="str">
        <f t="shared" si="1"/>
        <v>Available</v>
      </c>
      <c r="G260" s="9" t="str">
        <f>IFERROR(__xludf.DUMMYFUNCTION("IF(E260&gt;0, MIN(FILTER(active!H:H, (active!D:D = A260) * (active!F:F = ""Processed and Borrowed""))), """")"),"")</f>
        <v/>
      </c>
      <c r="H260" s="7"/>
      <c r="I260" s="7"/>
      <c r="J260" s="7"/>
    </row>
    <row r="261">
      <c r="A261" s="2">
        <v>9.780008138301E12</v>
      </c>
      <c r="B261" s="2" t="s">
        <v>501</v>
      </c>
      <c r="C261" s="2" t="s">
        <v>502</v>
      </c>
      <c r="D261" s="4">
        <v>1.0</v>
      </c>
      <c r="E261" s="7">
        <f>IF(
  COUNTIFS(active!D:D, A261, active!F:F, "Processed and Borrowed") &gt; D261,
  "Error",
  COUNTIFS(active!D:D, A261, active!F:F, "Processed and Borrowed")
)
</f>
        <v>0</v>
      </c>
      <c r="F261" s="7" t="str">
        <f t="shared" si="1"/>
        <v>Available</v>
      </c>
      <c r="G261" s="9" t="str">
        <f>IFERROR(__xludf.DUMMYFUNCTION("IF(E261&gt;0, MIN(FILTER(active!H:H, (active!D:D = A261) * (active!F:F = ""Processed and Borrowed""))), """")"),"")</f>
        <v/>
      </c>
      <c r="H261" s="7"/>
      <c r="I261" s="7"/>
      <c r="J261" s="7"/>
    </row>
    <row r="262">
      <c r="A262" s="2">
        <v>9.780099569589E12</v>
      </c>
      <c r="B262" s="2" t="s">
        <v>503</v>
      </c>
      <c r="C262" s="2" t="s">
        <v>504</v>
      </c>
      <c r="D262" s="4">
        <v>1.0</v>
      </c>
      <c r="E262" s="7">
        <f>IF(
  COUNTIFS(active!D:D, A262, active!F:F, "Processed and Borrowed") &gt; D262,
  "Error",
  COUNTIFS(active!D:D, A262, active!F:F, "Processed and Borrowed")
)
</f>
        <v>0</v>
      </c>
      <c r="F262" s="7" t="str">
        <f t="shared" si="1"/>
        <v>Available</v>
      </c>
      <c r="G262" s="9" t="str">
        <f>IFERROR(__xludf.DUMMYFUNCTION("IF(E262&gt;0, MIN(FILTER(active!H:H, (active!D:D = A262) * (active!F:F = ""Processed and Borrowed""))), """")"),"")</f>
        <v/>
      </c>
      <c r="H262" s="7"/>
      <c r="I262" s="7"/>
      <c r="J262" s="7"/>
    </row>
    <row r="263">
      <c r="A263" s="2">
        <v>9.780553406634E12</v>
      </c>
      <c r="B263" s="2" t="s">
        <v>505</v>
      </c>
      <c r="C263" s="2" t="s">
        <v>28</v>
      </c>
      <c r="D263" s="4">
        <v>1.0</v>
      </c>
      <c r="E263" s="7">
        <f>IF(
  COUNTIFS(active!D:D, A263, active!F:F, "Processed and Borrowed") &gt; D263,
  "Error",
  COUNTIFS(active!D:D, A263, active!F:F, "Processed and Borrowed")
)
</f>
        <v>0</v>
      </c>
      <c r="F263" s="7" t="str">
        <f t="shared" si="1"/>
        <v>Available</v>
      </c>
      <c r="G263" s="9" t="str">
        <f>IFERROR(__xludf.DUMMYFUNCTION("IF(E263&gt;0, MIN(FILTER(active!H:H, (active!D:D = A263) * (active!F:F = ""Processed and Borrowed""))), """")"),"")</f>
        <v/>
      </c>
      <c r="H263" s="7"/>
      <c r="I263" s="7"/>
      <c r="J263" s="7"/>
    </row>
    <row r="264">
      <c r="A264" s="2">
        <v>9.780008390648E12</v>
      </c>
      <c r="B264" s="2" t="s">
        <v>506</v>
      </c>
      <c r="C264" s="2" t="s">
        <v>413</v>
      </c>
      <c r="D264" s="4">
        <v>1.0</v>
      </c>
      <c r="E264" s="7">
        <f>IF(
  COUNTIFS(active!D:D, A264, active!F:F, "Processed and Borrowed") &gt; D264,
  "Error",
  COUNTIFS(active!D:D, A264, active!F:F, "Processed and Borrowed")
)
</f>
        <v>0</v>
      </c>
      <c r="F264" s="7" t="str">
        <f t="shared" si="1"/>
        <v>Available</v>
      </c>
      <c r="G264" s="9" t="str">
        <f>IFERROR(__xludf.DUMMYFUNCTION("IF(E264&gt;0, MIN(FILTER(active!H:H, (active!D:D = A264) * (active!F:F = ""Processed and Borrowed""))), """")"),"")</f>
        <v/>
      </c>
      <c r="H264" s="7"/>
      <c r="I264" s="7"/>
      <c r="J264" s="7"/>
    </row>
    <row r="265">
      <c r="A265" s="2">
        <v>9.781844135844E12</v>
      </c>
      <c r="B265" s="2" t="s">
        <v>507</v>
      </c>
      <c r="C265" s="2" t="s">
        <v>508</v>
      </c>
      <c r="D265" s="4">
        <v>1.0</v>
      </c>
      <c r="E265" s="7">
        <f>IF(
  COUNTIFS(active!D:D, A265, active!F:F, "Processed and Borrowed") &gt; D265,
  "Error",
  COUNTIFS(active!D:D, A265, active!F:F, "Processed and Borrowed")
)
</f>
        <v>0</v>
      </c>
      <c r="F265" s="7" t="str">
        <f t="shared" si="1"/>
        <v>Available</v>
      </c>
      <c r="G265" s="9" t="str">
        <f>IFERROR(__xludf.DUMMYFUNCTION("IF(E265&gt;0, MIN(FILTER(active!H:H, (active!D:D = A265) * (active!F:F = ""Processed and Borrowed""))), """")"),"")</f>
        <v/>
      </c>
      <c r="H265" s="7"/>
      <c r="I265" s="7"/>
      <c r="J265" s="7"/>
    </row>
    <row r="266">
      <c r="A266" s="2">
        <v>9.78178504214E12</v>
      </c>
      <c r="B266" s="2" t="s">
        <v>509</v>
      </c>
      <c r="C266" s="2" t="s">
        <v>391</v>
      </c>
      <c r="D266" s="4">
        <v>1.0</v>
      </c>
      <c r="E266" s="7">
        <f>IF(
  COUNTIFS(active!D:D, A266, active!F:F, "Processed and Borrowed") &gt; D266,
  "Error",
  COUNTIFS(active!D:D, A266, active!F:F, "Processed and Borrowed")
)
</f>
        <v>0</v>
      </c>
      <c r="F266" s="7" t="str">
        <f t="shared" si="1"/>
        <v>Available</v>
      </c>
      <c r="G266" s="9" t="str">
        <f>IFERROR(__xludf.DUMMYFUNCTION("IF(E266&gt;0, MIN(FILTER(active!H:H, (active!D:D = A266) * (active!F:F = ""Processed and Borrowed""))), """")"),"")</f>
        <v/>
      </c>
      <c r="H266" s="7"/>
      <c r="I266" s="7"/>
      <c r="J266" s="7"/>
    </row>
    <row r="267">
      <c r="A267" s="2">
        <v>9.78075355869E12</v>
      </c>
      <c r="B267" s="2" t="s">
        <v>510</v>
      </c>
      <c r="C267" s="2" t="s">
        <v>511</v>
      </c>
      <c r="D267" s="4">
        <v>1.0</v>
      </c>
      <c r="E267" s="7">
        <f>IF(
  COUNTIFS(active!D:D, A267, active!F:F, "Processed and Borrowed") &gt; D267,
  "Error",
  COUNTIFS(active!D:D, A267, active!F:F, "Processed and Borrowed")
)
</f>
        <v>0</v>
      </c>
      <c r="F267" s="7" t="str">
        <f t="shared" si="1"/>
        <v>Available</v>
      </c>
      <c r="G267" s="9" t="str">
        <f>IFERROR(__xludf.DUMMYFUNCTION("IF(E267&gt;0, MIN(FILTER(active!H:H, (active!D:D = A267) * (active!F:F = ""Processed and Borrowed""))), """")"),"")</f>
        <v/>
      </c>
      <c r="H267" s="7"/>
      <c r="I267" s="7"/>
      <c r="J267" s="7"/>
    </row>
    <row r="268">
      <c r="A268" s="2">
        <v>9.780008117498E12</v>
      </c>
      <c r="B268" s="2" t="s">
        <v>512</v>
      </c>
      <c r="C268" s="2" t="s">
        <v>513</v>
      </c>
      <c r="D268" s="4">
        <v>1.0</v>
      </c>
      <c r="E268" s="7">
        <f>IF(
  COUNTIFS(active!D:D, A268, active!F:F, "Processed and Borrowed") &gt; D268,
  "Error",
  COUNTIFS(active!D:D, A268, active!F:F, "Processed and Borrowed")
)
</f>
        <v>0</v>
      </c>
      <c r="F268" s="7" t="str">
        <f t="shared" si="1"/>
        <v>Available</v>
      </c>
      <c r="G268" s="9" t="str">
        <f>IFERROR(__xludf.DUMMYFUNCTION("IF(E268&gt;0, MIN(FILTER(active!H:H, (active!D:D = A268) * (active!F:F = ""Processed and Borrowed""))), """")"),"")</f>
        <v/>
      </c>
      <c r="H268" s="7"/>
      <c r="I268" s="7"/>
      <c r="J268" s="7"/>
    </row>
    <row r="269">
      <c r="A269" s="2">
        <v>9.781784875602E12</v>
      </c>
      <c r="B269" s="2" t="s">
        <v>514</v>
      </c>
      <c r="C269" s="2" t="s">
        <v>515</v>
      </c>
      <c r="D269" s="4">
        <v>1.0</v>
      </c>
      <c r="E269" s="7">
        <f>IF(
  COUNTIFS(active!D:D, A269, active!F:F, "Processed and Borrowed") &gt; D269,
  "Error",
  COUNTIFS(active!D:D, A269, active!F:F, "Processed and Borrowed")
)
</f>
        <v>0</v>
      </c>
      <c r="F269" s="7" t="str">
        <f t="shared" si="1"/>
        <v>Available</v>
      </c>
      <c r="G269" s="9" t="str">
        <f>IFERROR(__xludf.DUMMYFUNCTION("IF(E269&gt;0, MIN(FILTER(active!H:H, (active!D:D = A269) * (active!F:F = ""Processed and Borrowed""))), """")"),"")</f>
        <v/>
      </c>
      <c r="H269" s="7"/>
      <c r="I269" s="7"/>
      <c r="J269" s="7"/>
    </row>
    <row r="270">
      <c r="A270" s="2">
        <v>9.781781256176E12</v>
      </c>
      <c r="B270" s="2" t="s">
        <v>516</v>
      </c>
      <c r="C270" s="2" t="s">
        <v>517</v>
      </c>
      <c r="D270" s="4">
        <v>1.0</v>
      </c>
      <c r="E270" s="7">
        <f>IF(
  COUNTIFS(active!D:D, A270, active!F:F, "Processed and Borrowed") &gt; D270,
  "Error",
  COUNTIFS(active!D:D, A270, active!F:F, "Processed and Borrowed")
)
</f>
        <v>0</v>
      </c>
      <c r="F270" s="7" t="str">
        <f t="shared" si="1"/>
        <v>Available</v>
      </c>
      <c r="G270" s="9" t="str">
        <f>IFERROR(__xludf.DUMMYFUNCTION("IF(E270&gt;0, MIN(FILTER(active!H:H, (active!D:D = A270) * (active!F:F = ""Processed and Borrowed""))), """")"),"")</f>
        <v/>
      </c>
      <c r="H270" s="7"/>
      <c r="I270" s="7"/>
      <c r="J270" s="7"/>
    </row>
    <row r="271">
      <c r="A271" s="2">
        <v>9.78009930278E12</v>
      </c>
      <c r="B271" s="2" t="s">
        <v>518</v>
      </c>
      <c r="C271" s="2" t="s">
        <v>519</v>
      </c>
      <c r="D271" s="4">
        <v>1.0</v>
      </c>
      <c r="E271" s="7">
        <f>IF(
  COUNTIFS(active!D:D, A271, active!F:F, "Processed and Borrowed") &gt; D271,
  "Error",
  COUNTIFS(active!D:D, A271, active!F:F, "Processed and Borrowed")
)
</f>
        <v>0</v>
      </c>
      <c r="F271" s="7" t="str">
        <f t="shared" si="1"/>
        <v>Available</v>
      </c>
      <c r="G271" s="9" t="str">
        <f>IFERROR(__xludf.DUMMYFUNCTION("IF(E271&gt;0, MIN(FILTER(active!H:H, (active!D:D = A271) * (active!F:F = ""Processed and Borrowed""))), """")"),"")</f>
        <v/>
      </c>
      <c r="H271" s="7"/>
      <c r="I271" s="7"/>
      <c r="J271" s="7"/>
    </row>
    <row r="272">
      <c r="A272" s="2">
        <v>9.780091906351E12</v>
      </c>
      <c r="B272" s="2" t="s">
        <v>520</v>
      </c>
      <c r="C272" s="2" t="s">
        <v>521</v>
      </c>
      <c r="D272" s="4">
        <v>1.0</v>
      </c>
      <c r="E272" s="7">
        <f>IF(
  COUNTIFS(active!D:D, A272, active!F:F, "Processed and Borrowed") &gt; D272,
  "Error",
  COUNTIFS(active!D:D, A272, active!F:F, "Processed and Borrowed")
)
</f>
        <v>0</v>
      </c>
      <c r="F272" s="7" t="str">
        <f t="shared" si="1"/>
        <v>Available</v>
      </c>
      <c r="G272" s="9" t="str">
        <f>IFERROR(__xludf.DUMMYFUNCTION("IF(E272&gt;0, MIN(FILTER(active!H:H, (active!D:D = A272) * (active!F:F = ""Processed and Borrowed""))), """")"),"")</f>
        <v/>
      </c>
      <c r="H272" s="7"/>
      <c r="I272" s="7"/>
      <c r="J272" s="7"/>
    </row>
    <row r="273">
      <c r="A273" s="2">
        <v>9.780063136892E12</v>
      </c>
      <c r="B273" s="2" t="s">
        <v>522</v>
      </c>
      <c r="C273" s="2" t="s">
        <v>523</v>
      </c>
      <c r="D273" s="4">
        <v>1.0</v>
      </c>
      <c r="E273" s="7">
        <f>IF(
  COUNTIFS(active!D:D, A273, active!F:F, "Processed and Borrowed") &gt; D273,
  "Error",
  COUNTIFS(active!D:D, A273, active!F:F, "Processed and Borrowed")
)
</f>
        <v>0</v>
      </c>
      <c r="F273" s="7" t="str">
        <f t="shared" si="1"/>
        <v>Available</v>
      </c>
      <c r="G273" s="9" t="str">
        <f>IFERROR(__xludf.DUMMYFUNCTION("IF(E273&gt;0, MIN(FILTER(active!H:H, (active!D:D = A273) * (active!F:F = ""Processed and Borrowed""))), """")"),"")</f>
        <v/>
      </c>
      <c r="H273" s="7"/>
      <c r="I273" s="7"/>
      <c r="J273" s="7"/>
    </row>
    <row r="274">
      <c r="A274" s="2">
        <v>9.781784162245E12</v>
      </c>
      <c r="B274" s="2" t="s">
        <v>524</v>
      </c>
      <c r="C274" s="2" t="s">
        <v>459</v>
      </c>
      <c r="D274" s="4">
        <v>1.0</v>
      </c>
      <c r="E274" s="7">
        <f>IF(
  COUNTIFS(active!D:D, A274, active!F:F, "Processed and Borrowed") &gt; D274,
  "Error",
  COUNTIFS(active!D:D, A274, active!F:F, "Processed and Borrowed")
)
</f>
        <v>0</v>
      </c>
      <c r="F274" s="7" t="str">
        <f t="shared" si="1"/>
        <v>Available</v>
      </c>
      <c r="G274" s="9" t="str">
        <f>IFERROR(__xludf.DUMMYFUNCTION("IF(E274&gt;0, MIN(FILTER(active!H:H, (active!D:D = A274) * (active!F:F = ""Processed and Borrowed""))), """")"),"")</f>
        <v/>
      </c>
      <c r="H274" s="7"/>
      <c r="I274" s="7"/>
      <c r="J274" s="7"/>
    </row>
    <row r="275">
      <c r="A275" s="2">
        <v>9.781400212941E12</v>
      </c>
      <c r="B275" s="2" t="s">
        <v>525</v>
      </c>
      <c r="C275" s="2" t="s">
        <v>526</v>
      </c>
      <c r="D275" s="4">
        <v>1.0</v>
      </c>
      <c r="E275" s="7">
        <f>IF(
  COUNTIFS(active!D:D, A275, active!F:F, "Processed and Borrowed") &gt; D275,
  "Error",
  COUNTIFS(active!D:D, A275, active!F:F, "Processed and Borrowed")
)
</f>
        <v>0</v>
      </c>
      <c r="F275" s="7" t="str">
        <f t="shared" si="1"/>
        <v>Available</v>
      </c>
      <c r="G275" s="9" t="str">
        <f>IFERROR(__xludf.DUMMYFUNCTION("IF(E275&gt;0, MIN(FILTER(active!H:H, (active!D:D = A275) * (active!F:F = ""Processed and Borrowed""))), """")"),"")</f>
        <v/>
      </c>
      <c r="H275" s="7"/>
      <c r="I275" s="7"/>
      <c r="J275" s="7"/>
    </row>
    <row r="276">
      <c r="A276" s="2">
        <v>9.780753541647E12</v>
      </c>
      <c r="B276" s="2" t="s">
        <v>527</v>
      </c>
      <c r="C276" s="2" t="s">
        <v>528</v>
      </c>
      <c r="D276" s="4">
        <v>1.0</v>
      </c>
      <c r="E276" s="7">
        <f>IF(
  COUNTIFS(active!D:D, A276, active!F:F, "Processed and Borrowed") &gt; D276,
  "Error",
  COUNTIFS(active!D:D, A276, active!F:F, "Processed and Borrowed")
)
</f>
        <v>0</v>
      </c>
      <c r="F276" s="7" t="str">
        <f t="shared" si="1"/>
        <v>Available</v>
      </c>
      <c r="G276" s="9" t="str">
        <f>IFERROR(__xludf.DUMMYFUNCTION("IF(E276&gt;0, MIN(FILTER(active!H:H, (active!D:D = A276) * (active!F:F = ""Processed and Borrowed""))), """")"),"")</f>
        <v/>
      </c>
      <c r="H276" s="7"/>
      <c r="I276" s="7"/>
      <c r="J276" s="7"/>
    </row>
    <row r="277">
      <c r="A277" s="2">
        <v>9.78178487858E12</v>
      </c>
      <c r="B277" s="2" t="s">
        <v>529</v>
      </c>
      <c r="C277" s="2" t="s">
        <v>530</v>
      </c>
      <c r="D277" s="4">
        <v>1.0</v>
      </c>
      <c r="E277" s="7">
        <f>IF(
  COUNTIFS(active!D:D, A277, active!F:F, "Processed and Borrowed") &gt; D277,
  "Error",
  COUNTIFS(active!D:D, A277, active!F:F, "Processed and Borrowed")
)
</f>
        <v>0</v>
      </c>
      <c r="F277" s="7" t="str">
        <f t="shared" si="1"/>
        <v>Available</v>
      </c>
      <c r="G277" s="9" t="str">
        <f>IFERROR(__xludf.DUMMYFUNCTION("IF(E277&gt;0, MIN(FILTER(active!H:H, (active!D:D = A277) * (active!F:F = ""Processed and Borrowed""))), """")"),"")</f>
        <v/>
      </c>
      <c r="H277" s="7"/>
      <c r="I277" s="7"/>
      <c r="J277" s="7"/>
    </row>
    <row r="278">
      <c r="A278" s="2">
        <v>9.780007119318E12</v>
      </c>
      <c r="B278" s="2" t="s">
        <v>531</v>
      </c>
      <c r="C278" s="2" t="s">
        <v>109</v>
      </c>
      <c r="D278" s="4">
        <v>1.0</v>
      </c>
      <c r="E278" s="7">
        <f>IF(
  COUNTIFS(active!D:D, A278, active!F:F, "Processed and Borrowed") &gt; D278,
  "Error",
  COUNTIFS(active!D:D, A278, active!F:F, "Processed and Borrowed")
)
</f>
        <v>0</v>
      </c>
      <c r="F278" s="7" t="str">
        <f t="shared" si="1"/>
        <v>Available</v>
      </c>
      <c r="G278" s="9" t="str">
        <f>IFERROR(__xludf.DUMMYFUNCTION("IF(E278&gt;0, MIN(FILTER(active!H:H, (active!D:D = A278) * (active!F:F = ""Processed and Borrowed""))), """")"),"")</f>
        <v/>
      </c>
      <c r="H278" s="7"/>
      <c r="I278" s="7"/>
      <c r="J278" s="7"/>
    </row>
    <row r="279">
      <c r="A279" s="2">
        <v>9.781784705435E12</v>
      </c>
      <c r="B279" s="2" t="s">
        <v>532</v>
      </c>
      <c r="C279" s="2" t="s">
        <v>533</v>
      </c>
      <c r="D279" s="4">
        <v>1.0</v>
      </c>
      <c r="E279" s="7">
        <f>IF(
  COUNTIFS(active!D:D, A279, active!F:F, "Processed and Borrowed") &gt; D279,
  "Error",
  COUNTIFS(active!D:D, A279, active!F:F, "Processed and Borrowed")
)
</f>
        <v>0</v>
      </c>
      <c r="F279" s="7" t="str">
        <f t="shared" si="1"/>
        <v>Available</v>
      </c>
      <c r="G279" s="9" t="str">
        <f>IFERROR(__xludf.DUMMYFUNCTION("IF(E279&gt;0, MIN(FILTER(active!H:H, (active!D:D = A279) * (active!F:F = ""Processed and Borrowed""))), """")"),"")</f>
        <v/>
      </c>
      <c r="H279" s="7"/>
      <c r="I279" s="7"/>
      <c r="J279" s="7"/>
    </row>
    <row r="280">
      <c r="A280" s="2">
        <v>9.780099523994E12</v>
      </c>
      <c r="B280" s="2" t="s">
        <v>534</v>
      </c>
      <c r="C280" s="2" t="s">
        <v>535</v>
      </c>
      <c r="D280" s="4">
        <v>1.0</v>
      </c>
      <c r="E280" s="7">
        <f>IF(
  COUNTIFS(active!D:D, A280, active!F:F, "Processed and Borrowed") &gt; D280,
  "Error",
  COUNTIFS(active!D:D, A280, active!F:F, "Processed and Borrowed")
)
</f>
        <v>0</v>
      </c>
      <c r="F280" s="7" t="str">
        <f t="shared" si="1"/>
        <v>Available</v>
      </c>
      <c r="G280" s="9" t="str">
        <f>IFERROR(__xludf.DUMMYFUNCTION("IF(E280&gt;0, MIN(FILTER(active!H:H, (active!D:D = A280) * (active!F:F = ""Processed and Borrowed""))), """")"),"")</f>
        <v/>
      </c>
      <c r="H280" s="7"/>
      <c r="I280" s="7"/>
      <c r="J280" s="7"/>
    </row>
    <row r="281">
      <c r="A281" s="2">
        <v>9.781857028959E12</v>
      </c>
      <c r="B281" s="2" t="s">
        <v>536</v>
      </c>
      <c r="C281" s="2" t="s">
        <v>537</v>
      </c>
      <c r="D281" s="4">
        <v>1.0</v>
      </c>
      <c r="E281" s="7">
        <f>IF(
  COUNTIFS(active!D:D, A281, active!F:F, "Processed and Borrowed") &gt; D281,
  "Error",
  COUNTIFS(active!D:D, A281, active!F:F, "Processed and Borrowed")
)
</f>
        <v>0</v>
      </c>
      <c r="F281" s="7" t="str">
        <f t="shared" si="1"/>
        <v>Available</v>
      </c>
      <c r="G281" s="9" t="str">
        <f>IFERROR(__xludf.DUMMYFUNCTION("IF(E281&gt;0, MIN(FILTER(active!H:H, (active!D:D = A281) * (active!F:F = ""Processed and Borrowed""))), """")"),"")</f>
        <v/>
      </c>
      <c r="H281" s="7"/>
      <c r="I281" s="7"/>
      <c r="J281" s="7"/>
    </row>
    <row r="282">
      <c r="A282" s="2">
        <v>9.780099591528E12</v>
      </c>
      <c r="B282" s="2" t="s">
        <v>538</v>
      </c>
      <c r="C282" s="2" t="s">
        <v>539</v>
      </c>
      <c r="D282" s="4">
        <v>1.0</v>
      </c>
      <c r="E282" s="7">
        <f>IF(
  COUNTIFS(active!D:D, A282, active!F:F, "Processed and Borrowed") &gt; D282,
  "Error",
  COUNTIFS(active!D:D, A282, active!F:F, "Processed and Borrowed")
)
</f>
        <v>0</v>
      </c>
      <c r="F282" s="7" t="str">
        <f t="shared" si="1"/>
        <v>Available</v>
      </c>
      <c r="G282" s="9" t="str">
        <f>IFERROR(__xludf.DUMMYFUNCTION("IF(E282&gt;0, MIN(FILTER(active!H:H, (active!D:D = A282) * (active!F:F = ""Processed and Borrowed""))), """")"),"")</f>
        <v/>
      </c>
      <c r="H282" s="7"/>
      <c r="I282" s="7"/>
      <c r="J282" s="7"/>
    </row>
    <row r="283">
      <c r="A283" s="2">
        <v>9.780007256532E12</v>
      </c>
      <c r="B283" s="2" t="s">
        <v>540</v>
      </c>
      <c r="C283" s="2" t="s">
        <v>346</v>
      </c>
      <c r="D283" s="4">
        <v>1.0</v>
      </c>
      <c r="E283" s="7">
        <f>IF(
  COUNTIFS(active!D:D, A283, active!F:F, "Processed and Borrowed") &gt; D283,
  "Error",
  COUNTIFS(active!D:D, A283, active!F:F, "Processed and Borrowed")
)
</f>
        <v>0</v>
      </c>
      <c r="F283" s="7" t="str">
        <f t="shared" si="1"/>
        <v>Available</v>
      </c>
      <c r="G283" s="9" t="str">
        <f>IFERROR(__xludf.DUMMYFUNCTION("IF(E283&gt;0, MIN(FILTER(active!H:H, (active!D:D = A283) * (active!F:F = ""Processed and Borrowed""))), """")"),"")</f>
        <v/>
      </c>
      <c r="H283" s="7"/>
      <c r="I283" s="7"/>
      <c r="J283" s="7"/>
    </row>
    <row r="284">
      <c r="A284" s="2">
        <v>9.780099560432E12</v>
      </c>
      <c r="B284" s="2" t="s">
        <v>541</v>
      </c>
      <c r="C284" s="2" t="s">
        <v>542</v>
      </c>
      <c r="D284" s="4">
        <v>1.0</v>
      </c>
      <c r="E284" s="7">
        <f>IF(
  COUNTIFS(active!D:D, A284, active!F:F, "Processed and Borrowed") &gt; D284,
  "Error",
  COUNTIFS(active!D:D, A284, active!F:F, "Processed and Borrowed")
)
</f>
        <v>0</v>
      </c>
      <c r="F284" s="7" t="str">
        <f t="shared" si="1"/>
        <v>Available</v>
      </c>
      <c r="G284" s="9" t="str">
        <f>IFERROR(__xludf.DUMMYFUNCTION("IF(E284&gt;0, MIN(FILTER(active!H:H, (active!D:D = A284) * (active!F:F = ""Processed and Borrowed""))), """")"),"")</f>
        <v/>
      </c>
      <c r="H284" s="7"/>
      <c r="I284" s="7"/>
      <c r="J284" s="7"/>
    </row>
    <row r="285">
      <c r="A285" s="2">
        <v>9.780062654199E12</v>
      </c>
      <c r="B285" s="2" t="s">
        <v>543</v>
      </c>
      <c r="C285" s="2" t="s">
        <v>544</v>
      </c>
      <c r="D285" s="4">
        <v>1.0</v>
      </c>
      <c r="E285" s="7">
        <f>IF(
  COUNTIFS(active!D:D, A285, active!F:F, "Processed and Borrowed") &gt; D285,
  "Error",
  COUNTIFS(active!D:D, A285, active!F:F, "Processed and Borrowed")
)
</f>
        <v>0</v>
      </c>
      <c r="F285" s="7" t="str">
        <f t="shared" si="1"/>
        <v>Available</v>
      </c>
      <c r="G285" s="9" t="str">
        <f>IFERROR(__xludf.DUMMYFUNCTION("IF(E285&gt;0, MIN(FILTER(active!H:H, (active!D:D = A285) * (active!F:F = ""Processed and Borrowed""))), """")"),"")</f>
        <v/>
      </c>
      <c r="H285" s="7"/>
      <c r="I285" s="7"/>
      <c r="J285" s="7"/>
    </row>
    <row r="286">
      <c r="A286" s="2">
        <v>9.780552173148E12</v>
      </c>
      <c r="B286" s="2" t="s">
        <v>545</v>
      </c>
      <c r="C286" s="2" t="s">
        <v>546</v>
      </c>
      <c r="D286" s="4">
        <v>1.0</v>
      </c>
      <c r="E286" s="7">
        <f>IF(
  COUNTIFS(active!D:D, A286, active!F:F, "Processed and Borrowed") &gt; D286,
  "Error",
  COUNTIFS(active!D:D, A286, active!F:F, "Processed and Borrowed")
)
</f>
        <v>0</v>
      </c>
      <c r="F286" s="7" t="str">
        <f t="shared" si="1"/>
        <v>Available</v>
      </c>
      <c r="G286" s="9" t="str">
        <f>IFERROR(__xludf.DUMMYFUNCTION("IF(E286&gt;0, MIN(FILTER(active!H:H, (active!D:D = A286) * (active!F:F = ""Processed and Borrowed""))), """")"),"")</f>
        <v/>
      </c>
      <c r="H286" s="7"/>
      <c r="I286" s="7"/>
      <c r="J286" s="7"/>
    </row>
    <row r="287">
      <c r="A287" s="2">
        <v>9.780552167833E12</v>
      </c>
      <c r="B287" s="2" t="s">
        <v>547</v>
      </c>
      <c r="C287" s="2" t="s">
        <v>548</v>
      </c>
      <c r="D287" s="4">
        <v>1.0</v>
      </c>
      <c r="E287" s="7">
        <f>IF(
  COUNTIFS(active!D:D, A287, active!F:F, "Processed and Borrowed") &gt; D287,
  "Error",
  COUNTIFS(active!D:D, A287, active!F:F, "Processed and Borrowed")
)
</f>
        <v>0</v>
      </c>
      <c r="F287" s="7" t="str">
        <f t="shared" si="1"/>
        <v>Available</v>
      </c>
      <c r="G287" s="9" t="str">
        <f>IFERROR(__xludf.DUMMYFUNCTION("IF(E287&gt;0, MIN(FILTER(active!H:H, (active!D:D = A287) * (active!F:F = ""Processed and Borrowed""))), """")"),"")</f>
        <v/>
      </c>
      <c r="H287" s="7"/>
      <c r="I287" s="7"/>
      <c r="J287" s="7"/>
    </row>
    <row r="288">
      <c r="A288" s="2">
        <v>9.780099528128E12</v>
      </c>
      <c r="B288" s="2" t="s">
        <v>549</v>
      </c>
      <c r="C288" s="2" t="s">
        <v>550</v>
      </c>
      <c r="D288" s="4">
        <v>1.0</v>
      </c>
      <c r="E288" s="7">
        <f>IF(
  COUNTIFS(active!D:D, A288, active!F:F, "Processed and Borrowed") &gt; D288,
  "Error",
  COUNTIFS(active!D:D, A288, active!F:F, "Processed and Borrowed")
)
</f>
        <v>0</v>
      </c>
      <c r="F288" s="7" t="str">
        <f t="shared" si="1"/>
        <v>Available</v>
      </c>
      <c r="G288" s="9" t="str">
        <f>IFERROR(__xludf.DUMMYFUNCTION("IF(E288&gt;0, MIN(FILTER(active!H:H, (active!D:D = A288) * (active!F:F = ""Processed and Borrowed""))), """")"),"")</f>
        <v/>
      </c>
      <c r="H288" s="7"/>
      <c r="I288" s="7"/>
      <c r="J288" s="7"/>
    </row>
    <row r="289">
      <c r="A289" s="2">
        <v>9.780008150792E12</v>
      </c>
      <c r="B289" s="2" t="s">
        <v>551</v>
      </c>
      <c r="C289" s="2" t="s">
        <v>552</v>
      </c>
      <c r="D289" s="4">
        <v>1.0</v>
      </c>
      <c r="E289" s="7">
        <f>IF(
  COUNTIFS(active!D:D, A289, active!F:F, "Processed and Borrowed") &gt; D289,
  "Error",
  COUNTIFS(active!D:D, A289, active!F:F, "Processed and Borrowed")
)
</f>
        <v>0</v>
      </c>
      <c r="F289" s="7" t="str">
        <f t="shared" si="1"/>
        <v>Available</v>
      </c>
      <c r="G289" s="9" t="str">
        <f>IFERROR(__xludf.DUMMYFUNCTION("IF(E289&gt;0, MIN(FILTER(active!H:H, (active!D:D = A289) * (active!F:F = ""Processed and Borrowed""))), """")"),"")</f>
        <v/>
      </c>
      <c r="H289" s="7"/>
      <c r="I289" s="7"/>
      <c r="J289" s="7"/>
    </row>
    <row r="290">
      <c r="A290" s="2">
        <v>9.780753539477E12</v>
      </c>
      <c r="B290" s="2" t="s">
        <v>553</v>
      </c>
      <c r="C290" s="2" t="s">
        <v>554</v>
      </c>
      <c r="D290" s="4">
        <v>1.0</v>
      </c>
      <c r="E290" s="7">
        <f>IF(
  COUNTIFS(active!D:D, A290, active!F:F, "Processed and Borrowed") &gt; D290,
  "Error",
  COUNTIFS(active!D:D, A290, active!F:F, "Processed and Borrowed")
)
</f>
        <v>0</v>
      </c>
      <c r="F290" s="7" t="str">
        <f t="shared" si="1"/>
        <v>Available</v>
      </c>
      <c r="G290" s="9" t="str">
        <f>IFERROR(__xludf.DUMMYFUNCTION("IF(E290&gt;0, MIN(FILTER(active!H:H, (active!D:D = A290) * (active!F:F = ""Processed and Borrowed""))), """")"),"")</f>
        <v/>
      </c>
      <c r="H290" s="7"/>
      <c r="I290" s="7"/>
      <c r="J290" s="7"/>
    </row>
    <row r="291">
      <c r="A291" s="2">
        <v>9.780062273208E12</v>
      </c>
      <c r="B291" s="2" t="s">
        <v>555</v>
      </c>
      <c r="C291" s="2" t="s">
        <v>556</v>
      </c>
      <c r="D291" s="4">
        <v>1.0</v>
      </c>
      <c r="E291" s="7">
        <f>IF(
  COUNTIFS(active!D:D, A291, active!F:F, "Processed and Borrowed") &gt; D291,
  "Error",
  COUNTIFS(active!D:D, A291, active!F:F, "Processed and Borrowed")
)
</f>
        <v>0</v>
      </c>
      <c r="F291" s="7" t="str">
        <f t="shared" si="1"/>
        <v>Available</v>
      </c>
      <c r="G291" s="9" t="str">
        <f>IFERROR(__xludf.DUMMYFUNCTION("IF(E291&gt;0, MIN(FILTER(active!H:H, (active!D:D = A291) * (active!F:F = ""Processed and Borrowed""))), """")"),"")</f>
        <v/>
      </c>
      <c r="H291" s="7"/>
      <c r="I291" s="7"/>
      <c r="J291" s="7"/>
    </row>
    <row r="292">
      <c r="A292" s="2">
        <v>9.78000827953E12</v>
      </c>
      <c r="B292" s="2" t="s">
        <v>557</v>
      </c>
      <c r="C292" s="2" t="s">
        <v>558</v>
      </c>
      <c r="D292" s="4">
        <v>1.0</v>
      </c>
      <c r="E292" s="7">
        <f>IF(
  COUNTIFS(active!D:D, A292, active!F:F, "Processed and Borrowed") &gt; D292,
  "Error",
  COUNTIFS(active!D:D, A292, active!F:F, "Processed and Borrowed")
)
</f>
        <v>0</v>
      </c>
      <c r="F292" s="7" t="str">
        <f t="shared" si="1"/>
        <v>Available</v>
      </c>
      <c r="G292" s="9" t="str">
        <f>IFERROR(__xludf.DUMMYFUNCTION("IF(E292&gt;0, MIN(FILTER(active!H:H, (active!D:D = A292) * (active!F:F = ""Processed and Borrowed""))), """")"),"")</f>
        <v/>
      </c>
      <c r="H292" s="7"/>
      <c r="I292" s="7"/>
      <c r="J292" s="7"/>
    </row>
    <row r="293">
      <c r="A293" s="2">
        <v>9.780063423527E12</v>
      </c>
      <c r="B293" s="2" t="s">
        <v>559</v>
      </c>
      <c r="C293" s="2" t="s">
        <v>560</v>
      </c>
      <c r="D293" s="4">
        <v>1.0</v>
      </c>
      <c r="E293" s="7">
        <f>IF(
  COUNTIFS(active!D:D, A293, active!F:F, "Processed and Borrowed") &gt; D293,
  "Error",
  COUNTIFS(active!D:D, A293, active!F:F, "Processed and Borrowed")
)
</f>
        <v>0</v>
      </c>
      <c r="F293" s="7" t="str">
        <f t="shared" si="1"/>
        <v>Available</v>
      </c>
      <c r="G293" s="9" t="str">
        <f>IFERROR(__xludf.DUMMYFUNCTION("IF(E293&gt;0, MIN(FILTER(active!H:H, (active!D:D = A293) * (active!F:F = ""Processed and Borrowed""))), """")"),"")</f>
        <v/>
      </c>
      <c r="H293" s="7"/>
      <c r="I293" s="7"/>
      <c r="J293" s="7"/>
    </row>
    <row r="294">
      <c r="A294" s="2">
        <v>9.780552778473E12</v>
      </c>
      <c r="B294" s="2" t="s">
        <v>561</v>
      </c>
      <c r="C294" s="2" t="s">
        <v>562</v>
      </c>
      <c r="D294" s="4">
        <v>1.0</v>
      </c>
      <c r="E294" s="7">
        <f>IF(
  COUNTIFS(active!D:D, A294, active!F:F, "Processed and Borrowed") &gt; D294,
  "Error",
  COUNTIFS(active!D:D, A294, active!F:F, "Processed and Borrowed")
)
</f>
        <v>0</v>
      </c>
      <c r="F294" s="7" t="str">
        <f t="shared" si="1"/>
        <v>Available</v>
      </c>
      <c r="G294" s="9" t="str">
        <f>IFERROR(__xludf.DUMMYFUNCTION("IF(E294&gt;0, MIN(FILTER(active!H:H, (active!D:D = A294) * (active!F:F = ""Processed and Borrowed""))), """")"),"")</f>
        <v/>
      </c>
      <c r="H294" s="7"/>
      <c r="I294" s="7"/>
      <c r="J294" s="7"/>
    </row>
    <row r="295">
      <c r="A295" s="2">
        <v>9.780008224608E12</v>
      </c>
      <c r="B295" s="2" t="s">
        <v>563</v>
      </c>
      <c r="C295" s="2" t="s">
        <v>564</v>
      </c>
      <c r="D295" s="4">
        <v>1.0</v>
      </c>
      <c r="E295" s="7">
        <f>IF(
  COUNTIFS(active!D:D, A295, active!F:F, "Processed and Borrowed") &gt; D295,
  "Error",
  COUNTIFS(active!D:D, A295, active!F:F, "Processed and Borrowed")
)
</f>
        <v>0</v>
      </c>
      <c r="F295" s="7" t="str">
        <f t="shared" si="1"/>
        <v>Available</v>
      </c>
      <c r="G295" s="9" t="str">
        <f>IFERROR(__xludf.DUMMYFUNCTION("IF(E295&gt;0, MIN(FILTER(active!H:H, (active!D:D = A295) * (active!F:F = ""Processed and Borrowed""))), """")"),"")</f>
        <v/>
      </c>
      <c r="H295" s="7"/>
      <c r="I295" s="7"/>
      <c r="J295" s="7"/>
    </row>
    <row r="296">
      <c r="A296" s="2">
        <v>9.781846041037E12</v>
      </c>
      <c r="B296" s="2" t="s">
        <v>565</v>
      </c>
      <c r="C296" s="2" t="s">
        <v>566</v>
      </c>
      <c r="D296" s="4">
        <v>1.0</v>
      </c>
      <c r="E296" s="7">
        <f>IF(
  COUNTIFS(active!D:D, A296, active!F:F, "Processed and Borrowed") &gt; D296,
  "Error",
  COUNTIFS(active!D:D, A296, active!F:F, "Processed and Borrowed")
)
</f>
        <v>0</v>
      </c>
      <c r="F296" s="7" t="str">
        <f t="shared" si="1"/>
        <v>Available</v>
      </c>
      <c r="G296" s="9" t="str">
        <f>IFERROR(__xludf.DUMMYFUNCTION("IF(E296&gt;0, MIN(FILTER(active!H:H, (active!D:D = A296) * (active!F:F = ""Processed and Borrowed""))), """")"),"")</f>
        <v/>
      </c>
      <c r="H296" s="7"/>
      <c r="I296" s="7"/>
      <c r="J296" s="7"/>
    </row>
    <row r="297">
      <c r="A297" s="2">
        <v>9.780099482017E12</v>
      </c>
      <c r="B297" s="2" t="s">
        <v>567</v>
      </c>
      <c r="C297" s="2" t="s">
        <v>568</v>
      </c>
      <c r="D297" s="4">
        <v>1.0</v>
      </c>
      <c r="E297" s="7">
        <f>IF(
  COUNTIFS(active!D:D, A297, active!F:F, "Processed and Borrowed") &gt; D297,
  "Error",
  COUNTIFS(active!D:D, A297, active!F:F, "Processed and Borrowed")
)
</f>
        <v>0</v>
      </c>
      <c r="F297" s="7" t="str">
        <f t="shared" si="1"/>
        <v>Available</v>
      </c>
      <c r="G297" s="9" t="str">
        <f>IFERROR(__xludf.DUMMYFUNCTION("IF(E297&gt;0, MIN(FILTER(active!H:H, (active!D:D = A297) * (active!F:F = ""Processed and Borrowed""))), """")"),"")</f>
        <v/>
      </c>
      <c r="H297" s="7"/>
      <c r="I297" s="7"/>
      <c r="J297" s="7"/>
    </row>
    <row r="298">
      <c r="A298" s="2">
        <v>9.781784871055E12</v>
      </c>
      <c r="B298" s="2" t="s">
        <v>569</v>
      </c>
      <c r="C298" s="2" t="s">
        <v>570</v>
      </c>
      <c r="D298" s="4">
        <v>1.0</v>
      </c>
      <c r="E298" s="7">
        <f>IF(
  COUNTIFS(active!D:D, A298, active!F:F, "Processed and Borrowed") &gt; D298,
  "Error",
  COUNTIFS(active!D:D, A298, active!F:F, "Processed and Borrowed")
)
</f>
        <v>0</v>
      </c>
      <c r="F298" s="7" t="str">
        <f t="shared" si="1"/>
        <v>Available</v>
      </c>
      <c r="G298" s="9" t="str">
        <f>IFERROR(__xludf.DUMMYFUNCTION("IF(E298&gt;0, MIN(FILTER(active!H:H, (active!D:D = A298) * (active!F:F = ""Processed and Borrowed""))), """")"),"")</f>
        <v/>
      </c>
      <c r="H298" s="7"/>
      <c r="I298" s="7"/>
      <c r="J298" s="7"/>
    </row>
    <row r="299">
      <c r="A299" s="2">
        <v>9.781846682575E12</v>
      </c>
      <c r="B299" s="2" t="s">
        <v>571</v>
      </c>
      <c r="C299" s="2" t="s">
        <v>572</v>
      </c>
      <c r="D299" s="4">
        <v>1.0</v>
      </c>
      <c r="E299" s="7">
        <f>IF(
  COUNTIFS(active!D:D, A299, active!F:F, "Processed and Borrowed") &gt; D299,
  "Error",
  COUNTIFS(active!D:D, A299, active!F:F, "Processed and Borrowed")
)
</f>
        <v>0</v>
      </c>
      <c r="F299" s="7" t="str">
        <f t="shared" si="1"/>
        <v>Available</v>
      </c>
      <c r="G299" s="9" t="str">
        <f>IFERROR(__xludf.DUMMYFUNCTION("IF(E299&gt;0, MIN(FILTER(active!H:H, (active!D:D = A299) * (active!F:F = ""Processed and Borrowed""))), """")"),"")</f>
        <v/>
      </c>
      <c r="H299" s="7"/>
      <c r="I299" s="7"/>
      <c r="J299" s="7"/>
    </row>
    <row r="300">
      <c r="A300" s="2">
        <v>9.780007590599E12</v>
      </c>
      <c r="B300" s="2" t="s">
        <v>573</v>
      </c>
      <c r="C300" s="2" t="s">
        <v>109</v>
      </c>
      <c r="D300" s="4">
        <v>1.0</v>
      </c>
      <c r="E300" s="7">
        <f>IF(
  COUNTIFS(active!D:D, A300, active!F:F, "Processed and Borrowed") &gt; D300,
  "Error",
  COUNTIFS(active!D:D, A300, active!F:F, "Processed and Borrowed")
)
</f>
        <v>0</v>
      </c>
      <c r="F300" s="7" t="str">
        <f t="shared" si="1"/>
        <v>Available</v>
      </c>
      <c r="G300" s="9" t="str">
        <f>IFERROR(__xludf.DUMMYFUNCTION("IF(E300&gt;0, MIN(FILTER(active!H:H, (active!D:D = A300) * (active!F:F = ""Processed and Borrowed""))), """")"),"")</f>
        <v/>
      </c>
      <c r="H300" s="7"/>
      <c r="I300" s="7"/>
      <c r="J300" s="7"/>
    </row>
    <row r="301">
      <c r="A301" s="2">
        <v>9.780099532927E12</v>
      </c>
      <c r="B301" s="2" t="s">
        <v>574</v>
      </c>
      <c r="C301" s="2" t="s">
        <v>575</v>
      </c>
      <c r="D301" s="4">
        <v>1.0</v>
      </c>
      <c r="E301" s="7">
        <f>IF(
  COUNTIFS(active!D:D, A301, active!F:F, "Processed and Borrowed") &gt; D301,
  "Error",
  COUNTIFS(active!D:D, A301, active!F:F, "Processed and Borrowed")
)
</f>
        <v>0</v>
      </c>
      <c r="F301" s="7" t="str">
        <f t="shared" si="1"/>
        <v>Available</v>
      </c>
      <c r="G301" s="9" t="str">
        <f>IFERROR(__xludf.DUMMYFUNCTION("IF(E301&gt;0, MIN(FILTER(active!H:H, (active!D:D = A301) * (active!F:F = ""Processed and Borrowed""))), """")"),"")</f>
        <v/>
      </c>
      <c r="H301" s="7"/>
      <c r="I301" s="7"/>
      <c r="J301" s="7"/>
    </row>
    <row r="302">
      <c r="A302" s="2">
        <v>9.780062740397E12</v>
      </c>
      <c r="B302" s="2" t="s">
        <v>576</v>
      </c>
      <c r="C302" s="2" t="s">
        <v>577</v>
      </c>
      <c r="D302" s="4">
        <v>1.0</v>
      </c>
      <c r="E302" s="7">
        <f>IF(
  COUNTIFS(active!D:D, A302, active!F:F, "Processed and Borrowed") &gt; D302,
  "Error",
  COUNTIFS(active!D:D, A302, active!F:F, "Processed and Borrowed")
)
</f>
        <v>0</v>
      </c>
      <c r="F302" s="7" t="str">
        <f t="shared" si="1"/>
        <v>Available</v>
      </c>
      <c r="G302" s="9" t="str">
        <f>IFERROR(__xludf.DUMMYFUNCTION("IF(E302&gt;0, MIN(FILTER(active!H:H, (active!D:D = A302) * (active!F:F = ""Processed and Borrowed""))), """")"),"")</f>
        <v/>
      </c>
      <c r="H302" s="7"/>
      <c r="I302" s="7"/>
      <c r="J302" s="7"/>
    </row>
    <row r="303">
      <c r="A303" s="2">
        <v>9.781784708092E12</v>
      </c>
      <c r="B303" s="2" t="s">
        <v>578</v>
      </c>
      <c r="C303" s="2" t="s">
        <v>579</v>
      </c>
      <c r="D303" s="4">
        <v>1.0</v>
      </c>
      <c r="E303" s="7">
        <f>IF(
  COUNTIFS(active!D:D, A303, active!F:F, "Processed and Borrowed") &gt; D303,
  "Error",
  COUNTIFS(active!D:D, A303, active!F:F, "Processed and Borrowed")
)
</f>
        <v>0</v>
      </c>
      <c r="F303" s="7" t="str">
        <f t="shared" si="1"/>
        <v>Available</v>
      </c>
      <c r="G303" s="9" t="str">
        <f>IFERROR(__xludf.DUMMYFUNCTION("IF(E303&gt;0, MIN(FILTER(active!H:H, (active!D:D = A303) * (active!F:F = ""Processed and Borrowed""))), """")"),"")</f>
        <v/>
      </c>
      <c r="H303" s="7"/>
      <c r="I303" s="7"/>
      <c r="J303" s="7"/>
    </row>
    <row r="304">
      <c r="A304" s="2">
        <v>9.780593048153E12</v>
      </c>
      <c r="B304" s="2" t="s">
        <v>580</v>
      </c>
      <c r="C304" s="2" t="s">
        <v>28</v>
      </c>
      <c r="D304" s="4">
        <v>1.0</v>
      </c>
      <c r="E304" s="7">
        <f>IF(
  COUNTIFS(active!D:D, A304, active!F:F, "Processed and Borrowed") &gt; D304,
  "Error",
  COUNTIFS(active!D:D, A304, active!F:F, "Processed and Borrowed")
)
</f>
        <v>0</v>
      </c>
      <c r="F304" s="7" t="str">
        <f t="shared" si="1"/>
        <v>Available</v>
      </c>
      <c r="G304" s="9" t="str">
        <f>IFERROR(__xludf.DUMMYFUNCTION("IF(E304&gt;0, MIN(FILTER(active!H:H, (active!D:D = A304) * (active!F:F = ""Processed and Borrowed""))), """")"),"")</f>
        <v/>
      </c>
      <c r="H304" s="7"/>
      <c r="I304" s="7"/>
      <c r="J304" s="7"/>
    </row>
    <row r="305">
      <c r="A305" s="2">
        <v>9.780099598237E12</v>
      </c>
      <c r="B305" s="2" t="s">
        <v>581</v>
      </c>
      <c r="C305" s="2" t="s">
        <v>579</v>
      </c>
      <c r="D305" s="4">
        <v>1.0</v>
      </c>
      <c r="E305" s="7">
        <f>IF(
  COUNTIFS(active!D:D, A305, active!F:F, "Processed and Borrowed") &gt; D305,
  "Error",
  COUNTIFS(active!D:D, A305, active!F:F, "Processed and Borrowed")
)
</f>
        <v>0</v>
      </c>
      <c r="F305" s="7" t="str">
        <f t="shared" si="1"/>
        <v>Available</v>
      </c>
      <c r="G305" s="9" t="str">
        <f>IFERROR(__xludf.DUMMYFUNCTION("IF(E305&gt;0, MIN(FILTER(active!H:H, (active!D:D = A305) * (active!F:F = ""Processed and Borrowed""))), """")"),"")</f>
        <v/>
      </c>
      <c r="H305" s="7"/>
      <c r="I305" s="7"/>
      <c r="J305" s="7"/>
    </row>
    <row r="306">
      <c r="A306" s="2">
        <v>9.780008485122E12</v>
      </c>
      <c r="B306" s="2" t="s">
        <v>582</v>
      </c>
      <c r="C306" s="2" t="s">
        <v>583</v>
      </c>
      <c r="D306" s="4">
        <v>1.0</v>
      </c>
      <c r="E306" s="7">
        <f>IF(
  COUNTIFS(active!D:D, A306, active!F:F, "Processed and Borrowed") &gt; D306,
  "Error",
  COUNTIFS(active!D:D, A306, active!F:F, "Processed and Borrowed")
)
</f>
        <v>0</v>
      </c>
      <c r="F306" s="7" t="str">
        <f t="shared" si="1"/>
        <v>Available</v>
      </c>
      <c r="G306" s="9" t="str">
        <f>IFERROR(__xludf.DUMMYFUNCTION("IF(E306&gt;0, MIN(FILTER(active!H:H, (active!D:D = A306) * (active!F:F = ""Processed and Borrowed""))), """")"),"")</f>
        <v/>
      </c>
      <c r="H306" s="7"/>
      <c r="I306" s="7"/>
      <c r="J306" s="7"/>
    </row>
    <row r="307">
      <c r="A307" s="2">
        <v>9.780099466734E12</v>
      </c>
      <c r="B307" s="2" t="s">
        <v>584</v>
      </c>
      <c r="C307" s="2" t="s">
        <v>585</v>
      </c>
      <c r="D307" s="4">
        <v>1.0</v>
      </c>
      <c r="E307" s="7">
        <f>IF(
  COUNTIFS(active!D:D, A307, active!F:F, "Processed and Borrowed") &gt; D307,
  "Error",
  COUNTIFS(active!D:D, A307, active!F:F, "Processed and Borrowed")
)
</f>
        <v>0</v>
      </c>
      <c r="F307" s="7" t="str">
        <f t="shared" si="1"/>
        <v>Available</v>
      </c>
      <c r="G307" s="9" t="str">
        <f>IFERROR(__xludf.DUMMYFUNCTION("IF(E307&gt;0, MIN(FILTER(active!H:H, (active!D:D = A307) * (active!F:F = ""Processed and Borrowed""))), """")"),"")</f>
        <v/>
      </c>
      <c r="H307" s="7"/>
      <c r="I307" s="7"/>
      <c r="J307" s="7"/>
    </row>
    <row r="308">
      <c r="A308" s="2">
        <v>9.781785043352E12</v>
      </c>
      <c r="B308" s="2" t="s">
        <v>586</v>
      </c>
      <c r="C308" s="2" t="s">
        <v>587</v>
      </c>
      <c r="D308" s="4">
        <v>1.0</v>
      </c>
      <c r="E308" s="7">
        <f>IF(
  COUNTIFS(active!D:D, A308, active!F:F, "Processed and Borrowed") &gt; D308,
  "Error",
  COUNTIFS(active!D:D, A308, active!F:F, "Processed and Borrowed")
)
</f>
        <v>0</v>
      </c>
      <c r="F308" s="7" t="str">
        <f t="shared" si="1"/>
        <v>Available</v>
      </c>
      <c r="G308" s="9" t="str">
        <f>IFERROR(__xludf.DUMMYFUNCTION("IF(E308&gt;0, MIN(FILTER(active!H:H, (active!D:D = A308) * (active!F:F = ""Processed and Borrowed""))), """")"),"")</f>
        <v/>
      </c>
      <c r="H308" s="7"/>
      <c r="I308" s="7"/>
      <c r="J308" s="7"/>
    </row>
    <row r="309">
      <c r="A309" s="2">
        <v>9.781846684302E12</v>
      </c>
      <c r="B309" s="2" t="s">
        <v>588</v>
      </c>
      <c r="C309" s="2" t="s">
        <v>589</v>
      </c>
      <c r="D309" s="4">
        <v>1.0</v>
      </c>
      <c r="E309" s="7">
        <f>IF(
  COUNTIFS(active!D:D, A309, active!F:F, "Processed and Borrowed") &gt; D309,
  "Error",
  COUNTIFS(active!D:D, A309, active!F:F, "Processed and Borrowed")
)
</f>
        <v>0</v>
      </c>
      <c r="F309" s="7" t="str">
        <f t="shared" si="1"/>
        <v>Available</v>
      </c>
      <c r="G309" s="9" t="str">
        <f>IFERROR(__xludf.DUMMYFUNCTION("IF(E309&gt;0, MIN(FILTER(active!H:H, (active!D:D = A309) * (active!F:F = ""Processed and Borrowed""))), """")"),"")</f>
        <v/>
      </c>
      <c r="H309" s="7"/>
      <c r="I309" s="7"/>
      <c r="J309" s="7"/>
    </row>
    <row r="310">
      <c r="A310" s="2">
        <v>9.7807535552E12</v>
      </c>
      <c r="B310" s="2" t="s">
        <v>590</v>
      </c>
      <c r="C310" s="2" t="s">
        <v>591</v>
      </c>
      <c r="D310" s="4">
        <v>1.0</v>
      </c>
      <c r="E310" s="7">
        <f>IF(
  COUNTIFS(active!D:D, A310, active!F:F, "Processed and Borrowed") &gt; D310,
  "Error",
  COUNTIFS(active!D:D, A310, active!F:F, "Processed and Borrowed")
)
</f>
        <v>0</v>
      </c>
      <c r="F310" s="7" t="str">
        <f t="shared" si="1"/>
        <v>Available</v>
      </c>
      <c r="G310" s="9" t="str">
        <f>IFERROR(__xludf.DUMMYFUNCTION("IF(E310&gt;0, MIN(FILTER(active!H:H, (active!D:D = A310) * (active!F:F = ""Processed and Borrowed""))), """")"),"")</f>
        <v/>
      </c>
      <c r="H310" s="7"/>
      <c r="I310" s="7"/>
      <c r="J310" s="7"/>
    </row>
    <row r="311">
      <c r="A311" s="2">
        <v>9.781529157468E12</v>
      </c>
      <c r="B311" s="2" t="s">
        <v>592</v>
      </c>
      <c r="C311" s="2" t="s">
        <v>490</v>
      </c>
      <c r="D311" s="4">
        <v>1.0</v>
      </c>
      <c r="E311" s="7">
        <f>IF(
  COUNTIFS(active!D:D, A311, active!F:F, "Processed and Borrowed") &gt; D311,
  "Error",
  COUNTIFS(active!D:D, A311, active!F:F, "Processed and Borrowed")
)
</f>
        <v>0</v>
      </c>
      <c r="F311" s="7" t="str">
        <f t="shared" si="1"/>
        <v>Available</v>
      </c>
      <c r="G311" s="9" t="str">
        <f>IFERROR(__xludf.DUMMYFUNCTION("IF(E311&gt;0, MIN(FILTER(active!H:H, (active!D:D = A311) * (active!F:F = ""Processed and Borrowed""))), """")"),"")</f>
        <v/>
      </c>
      <c r="H311" s="7"/>
      <c r="I311" s="7"/>
      <c r="J311" s="7"/>
    </row>
    <row r="312">
      <c r="A312" s="2">
        <v>9.780007527526E12</v>
      </c>
      <c r="B312" s="2" t="s">
        <v>593</v>
      </c>
      <c r="C312" s="2" t="s">
        <v>109</v>
      </c>
      <c r="D312" s="4">
        <v>1.0</v>
      </c>
      <c r="E312" s="7">
        <f>IF(
  COUNTIFS(active!D:D, A312, active!F:F, "Processed and Borrowed") &gt; D312,
  "Error",
  COUNTIFS(active!D:D, A312, active!F:F, "Processed and Borrowed")
)
</f>
        <v>0</v>
      </c>
      <c r="F312" s="7" t="str">
        <f t="shared" si="1"/>
        <v>Available</v>
      </c>
      <c r="G312" s="9" t="str">
        <f>IFERROR(__xludf.DUMMYFUNCTION("IF(E312&gt;0, MIN(FILTER(active!H:H, (active!D:D = A312) * (active!F:F = ""Processed and Borrowed""))), """")"),"")</f>
        <v/>
      </c>
      <c r="H312" s="7"/>
      <c r="I312" s="7"/>
      <c r="J312" s="7"/>
    </row>
    <row r="313">
      <c r="A313" s="2">
        <v>9.781435167902E12</v>
      </c>
      <c r="B313" s="2" t="s">
        <v>594</v>
      </c>
      <c r="C313" s="2" t="s">
        <v>595</v>
      </c>
      <c r="D313" s="4">
        <v>1.0</v>
      </c>
      <c r="E313" s="7">
        <f>IF(
  COUNTIFS(active!D:D, A313, active!F:F, "Processed and Borrowed") &gt; D313,
  "Error",
  COUNTIFS(active!D:D, A313, active!F:F, "Processed and Borrowed")
)
</f>
        <v>0</v>
      </c>
      <c r="F313" s="7" t="str">
        <f t="shared" si="1"/>
        <v>Available</v>
      </c>
      <c r="G313" s="9" t="str">
        <f>IFERROR(__xludf.DUMMYFUNCTION("IF(E313&gt;0, MIN(FILTER(active!H:H, (active!D:D = A313) * (active!F:F = ""Processed and Borrowed""))), """")"),"")</f>
        <v/>
      </c>
      <c r="H313" s="7"/>
      <c r="I313" s="7"/>
      <c r="J313" s="7"/>
    </row>
    <row r="314">
      <c r="A314" s="2">
        <v>9.780099448822E12</v>
      </c>
      <c r="B314" s="2" t="s">
        <v>596</v>
      </c>
      <c r="C314" s="2" t="s">
        <v>597</v>
      </c>
      <c r="D314" s="4">
        <v>1.0</v>
      </c>
      <c r="E314" s="7">
        <f>IF(
  COUNTIFS(active!D:D, A314, active!F:F, "Processed and Borrowed") &gt; D314,
  "Error",
  COUNTIFS(active!D:D, A314, active!F:F, "Processed and Borrowed")
)
</f>
        <v>0</v>
      </c>
      <c r="F314" s="7" t="str">
        <f t="shared" si="1"/>
        <v>Available</v>
      </c>
      <c r="G314" s="9" t="str">
        <f>IFERROR(__xludf.DUMMYFUNCTION("IF(E314&gt;0, MIN(FILTER(active!H:H, (active!D:D = A314) * (active!F:F = ""Processed and Borrowed""))), """")"),"")</f>
        <v/>
      </c>
      <c r="H314" s="7"/>
      <c r="I314" s="7"/>
      <c r="J314" s="7"/>
    </row>
    <row r="315">
      <c r="A315" s="2">
        <v>9.780099494096E12</v>
      </c>
      <c r="B315" s="2" t="s">
        <v>598</v>
      </c>
      <c r="C315" s="2" t="s">
        <v>597</v>
      </c>
      <c r="D315" s="4">
        <v>1.0</v>
      </c>
      <c r="E315" s="7">
        <f>IF(
  COUNTIFS(active!D:D, A315, active!F:F, "Processed and Borrowed") &gt; D315,
  "Error",
  COUNTIFS(active!D:D, A315, active!F:F, "Processed and Borrowed")
)
</f>
        <v>0</v>
      </c>
      <c r="F315" s="7" t="str">
        <f t="shared" si="1"/>
        <v>Available</v>
      </c>
      <c r="G315" s="9" t="str">
        <f>IFERROR(__xludf.DUMMYFUNCTION("IF(E315&gt;0, MIN(FILTER(active!H:H, (active!D:D = A315) * (active!F:F = ""Processed and Borrowed""))), """")"),"")</f>
        <v/>
      </c>
      <c r="H315" s="7"/>
      <c r="I315" s="7"/>
      <c r="J315" s="7"/>
    </row>
    <row r="316">
      <c r="A316" s="2">
        <v>9.780099448792E12</v>
      </c>
      <c r="B316" s="2" t="s">
        <v>599</v>
      </c>
      <c r="C316" s="2" t="s">
        <v>597</v>
      </c>
      <c r="D316" s="4">
        <v>1.0</v>
      </c>
      <c r="E316" s="7">
        <f>IF(
  COUNTIFS(active!D:D, A316, active!F:F, "Processed and Borrowed") &gt; D316,
  "Error",
  COUNTIFS(active!D:D, A316, active!F:F, "Processed and Borrowed")
)
</f>
        <v>0</v>
      </c>
      <c r="F316" s="7" t="str">
        <f t="shared" si="1"/>
        <v>Available</v>
      </c>
      <c r="G316" s="9" t="str">
        <f>IFERROR(__xludf.DUMMYFUNCTION("IF(E316&gt;0, MIN(FILTER(active!H:H, (active!D:D = A316) * (active!F:F = ""Processed and Borrowed""))), """")"),"")</f>
        <v/>
      </c>
      <c r="H316" s="7"/>
      <c r="I316" s="7"/>
      <c r="J316" s="7"/>
    </row>
    <row r="317">
      <c r="A317" s="2">
        <v>9.780091900212E12</v>
      </c>
      <c r="B317" s="2" t="s">
        <v>600</v>
      </c>
      <c r="C317" s="2" t="s">
        <v>601</v>
      </c>
      <c r="D317" s="4">
        <v>1.0</v>
      </c>
      <c r="E317" s="7">
        <f>IF(
  COUNTIFS(active!D:D, A317, active!F:F, "Processed and Borrowed") &gt; D317,
  "Error",
  COUNTIFS(active!D:D, A317, active!F:F, "Processed and Borrowed")
)
</f>
        <v>0</v>
      </c>
      <c r="F317" s="7" t="str">
        <f t="shared" si="1"/>
        <v>Available</v>
      </c>
      <c r="G317" s="9" t="str">
        <f>IFERROR(__xludf.DUMMYFUNCTION("IF(E317&gt;0, MIN(FILTER(active!H:H, (active!D:D = A317) * (active!F:F = ""Processed and Borrowed""))), """")"),"")</f>
        <v/>
      </c>
      <c r="H317" s="7"/>
      <c r="I317" s="7"/>
      <c r="J317" s="7"/>
    </row>
    <row r="318">
      <c r="A318" s="2">
        <v>9.781784703936E12</v>
      </c>
      <c r="B318" s="2" t="s">
        <v>602</v>
      </c>
      <c r="C318" s="2" t="s">
        <v>12</v>
      </c>
      <c r="D318" s="4">
        <v>1.0</v>
      </c>
      <c r="E318" s="7">
        <f>IF(
  COUNTIFS(active!D:D, A318, active!F:F, "Processed and Borrowed") &gt; D318,
  "Error",
  COUNTIFS(active!D:D, A318, active!F:F, "Processed and Borrowed")
)
</f>
        <v>0</v>
      </c>
      <c r="F318" s="7" t="str">
        <f t="shared" si="1"/>
        <v>Available</v>
      </c>
      <c r="G318" s="9" t="str">
        <f>IFERROR(__xludf.DUMMYFUNCTION("IF(E318&gt;0, MIN(FILTER(active!H:H, (active!D:D = A318) * (active!F:F = ""Processed and Borrowed""))), """")"),"")</f>
        <v/>
      </c>
      <c r="H318" s="7"/>
      <c r="I318" s="7"/>
      <c r="J318" s="7"/>
    </row>
    <row r="319">
      <c r="A319" s="2">
        <v>9.780099575061E12</v>
      </c>
      <c r="B319" s="2" t="s">
        <v>603</v>
      </c>
      <c r="C319" s="2" t="s">
        <v>604</v>
      </c>
      <c r="D319" s="4">
        <v>1.0</v>
      </c>
      <c r="E319" s="7">
        <f>IF(
  COUNTIFS(active!D:D, A319, active!F:F, "Processed and Borrowed") &gt; D319,
  "Error",
  COUNTIFS(active!D:D, A319, active!F:F, "Processed and Borrowed")
)
</f>
        <v>0</v>
      </c>
      <c r="F319" s="7" t="str">
        <f t="shared" si="1"/>
        <v>Available</v>
      </c>
      <c r="G319" s="9" t="str">
        <f>IFERROR(__xludf.DUMMYFUNCTION("IF(E319&gt;0, MIN(FILTER(active!H:H, (active!D:D = A319) * (active!F:F = ""Processed and Borrowed""))), """")"),"")</f>
        <v/>
      </c>
      <c r="H319" s="7"/>
      <c r="I319" s="7"/>
      <c r="J319" s="7"/>
    </row>
    <row r="320">
      <c r="A320" s="2">
        <v>9.781841594057E12</v>
      </c>
      <c r="B320" s="2" t="s">
        <v>605</v>
      </c>
      <c r="C320" s="2" t="s">
        <v>606</v>
      </c>
      <c r="D320" s="4">
        <v>1.0</v>
      </c>
      <c r="E320" s="7">
        <f>IF(
  COUNTIFS(active!D:D, A320, active!F:F, "Processed and Borrowed") &gt; D320,
  "Error",
  COUNTIFS(active!D:D, A320, active!F:F, "Processed and Borrowed")
)
</f>
        <v>0</v>
      </c>
      <c r="F320" s="7" t="str">
        <f t="shared" si="1"/>
        <v>Available</v>
      </c>
      <c r="G320" s="9" t="str">
        <f>IFERROR(__xludf.DUMMYFUNCTION("IF(E320&gt;0, MIN(FILTER(active!H:H, (active!D:D = A320) * (active!F:F = ""Processed and Borrowed""))), """")"),"")</f>
        <v/>
      </c>
      <c r="H320" s="7"/>
      <c r="I320" s="7"/>
      <c r="J320" s="7"/>
    </row>
    <row r="321">
      <c r="A321" s="2">
        <v>9.780141180977E12</v>
      </c>
      <c r="B321" s="2" t="s">
        <v>607</v>
      </c>
      <c r="C321" s="2" t="s">
        <v>302</v>
      </c>
      <c r="D321" s="4">
        <v>1.0</v>
      </c>
      <c r="E321" s="7">
        <f>IF(
  COUNTIFS(active!D:D, A321, active!F:F, "Processed and Borrowed") &gt; D321,
  "Error",
  COUNTIFS(active!D:D, A321, active!F:F, "Processed and Borrowed")
)
</f>
        <v>0</v>
      </c>
      <c r="F321" s="7" t="str">
        <f t="shared" si="1"/>
        <v>Available</v>
      </c>
      <c r="G321" s="9" t="str">
        <f>IFERROR(__xludf.DUMMYFUNCTION("IF(E321&gt;0, MIN(FILTER(active!H:H, (active!D:D = A321) * (active!F:F = ""Processed and Borrowed""))), """")"),"")</f>
        <v/>
      </c>
      <c r="H321" s="7"/>
      <c r="I321" s="7"/>
      <c r="J321" s="7"/>
    </row>
    <row r="322">
      <c r="A322" s="2">
        <v>9.780593133934E12</v>
      </c>
      <c r="B322" s="2" t="s">
        <v>608</v>
      </c>
      <c r="C322" s="2" t="s">
        <v>609</v>
      </c>
      <c r="D322" s="4">
        <v>1.0</v>
      </c>
      <c r="E322" s="7">
        <f>IF(
  COUNTIFS(active!D:D, A322, active!F:F, "Processed and Borrowed") &gt; D322,
  "Error",
  COUNTIFS(active!D:D, A322, active!F:F, "Processed and Borrowed")
)
</f>
        <v>0</v>
      </c>
      <c r="F322" s="7" t="str">
        <f t="shared" si="1"/>
        <v>Available</v>
      </c>
      <c r="G322" s="9" t="str">
        <f>IFERROR(__xludf.DUMMYFUNCTION("IF(E322&gt;0, MIN(FILTER(active!H:H, (active!D:D = A322) * (active!F:F = ""Processed and Borrowed""))), """")"),"")</f>
        <v/>
      </c>
      <c r="H322" s="7"/>
      <c r="I322" s="7"/>
      <c r="J322" s="7"/>
    </row>
    <row r="323">
      <c r="A323" s="2">
        <v>9.780143111344E12</v>
      </c>
      <c r="B323" s="2" t="s">
        <v>610</v>
      </c>
      <c r="C323" s="2" t="s">
        <v>611</v>
      </c>
      <c r="D323" s="4">
        <v>1.0</v>
      </c>
      <c r="E323" s="7">
        <f>IF(
  COUNTIFS(active!D:D, A323, active!F:F, "Processed and Borrowed") &gt; D323,
  "Error",
  COUNTIFS(active!D:D, A323, active!F:F, "Processed and Borrowed")
)
</f>
        <v>0</v>
      </c>
      <c r="F323" s="7" t="str">
        <f t="shared" si="1"/>
        <v>Available</v>
      </c>
      <c r="G323" s="9" t="str">
        <f>IFERROR(__xludf.DUMMYFUNCTION("IF(E323&gt;0, MIN(FILTER(active!H:H, (active!D:D = A323) * (active!F:F = ""Processed and Borrowed""))), """")"),"")</f>
        <v/>
      </c>
      <c r="H323" s="7"/>
      <c r="I323" s="7"/>
      <c r="J323" s="7"/>
    </row>
    <row r="324">
      <c r="A324" s="2">
        <v>9.780525538837E12</v>
      </c>
      <c r="B324" s="2" t="s">
        <v>612</v>
      </c>
      <c r="C324" s="2" t="s">
        <v>14</v>
      </c>
      <c r="D324" s="4">
        <v>1.0</v>
      </c>
      <c r="E324" s="7">
        <f>IF(
  COUNTIFS(active!D:D, A324, active!F:F, "Processed and Borrowed") &gt; D324,
  "Error",
  COUNTIFS(active!D:D, A324, active!F:F, "Processed and Borrowed")
)
</f>
        <v>0</v>
      </c>
      <c r="F324" s="7" t="str">
        <f t="shared" si="1"/>
        <v>Available</v>
      </c>
      <c r="G324" s="9" t="str">
        <f>IFERROR(__xludf.DUMMYFUNCTION("IF(E324&gt;0, MIN(FILTER(active!H:H, (active!D:D = A324) * (active!F:F = ""Processed and Borrowed""))), """")"),"")</f>
        <v/>
      </c>
      <c r="H324" s="7"/>
      <c r="I324" s="7"/>
      <c r="J324" s="7"/>
    </row>
    <row r="325">
      <c r="A325" s="2">
        <v>9.780385418867E12</v>
      </c>
      <c r="B325" s="2" t="s">
        <v>613</v>
      </c>
      <c r="C325" s="2" t="s">
        <v>614</v>
      </c>
      <c r="D325" s="4">
        <v>1.0</v>
      </c>
      <c r="E325" s="7">
        <f>IF(
  COUNTIFS(active!D:D, A325, active!F:F, "Processed and Borrowed") &gt; D325,
  "Error",
  COUNTIFS(active!D:D, A325, active!F:F, "Processed and Borrowed")
)
</f>
        <v>0</v>
      </c>
      <c r="F325" s="7" t="str">
        <f t="shared" si="1"/>
        <v>Available</v>
      </c>
      <c r="G325" s="9" t="str">
        <f>IFERROR(__xludf.DUMMYFUNCTION("IF(E325&gt;0, MIN(FILTER(active!H:H, (active!D:D = A325) * (active!F:F = ""Processed and Borrowed""))), """")"),"")</f>
        <v/>
      </c>
      <c r="H325" s="7"/>
      <c r="I325" s="7"/>
      <c r="J325" s="7"/>
    </row>
    <row r="326">
      <c r="A326" s="2">
        <v>9.780525574477E12</v>
      </c>
      <c r="B326" s="2" t="s">
        <v>615</v>
      </c>
      <c r="C326" s="2" t="s">
        <v>616</v>
      </c>
      <c r="D326" s="4">
        <v>1.0</v>
      </c>
      <c r="E326" s="7">
        <f>IF(
  COUNTIFS(active!D:D, A326, active!F:F, "Processed and Borrowed") &gt; D326,
  "Error",
  COUNTIFS(active!D:D, A326, active!F:F, "Processed and Borrowed")
)
</f>
        <v>0</v>
      </c>
      <c r="F326" s="7" t="str">
        <f t="shared" si="1"/>
        <v>Available</v>
      </c>
      <c r="G326" s="9" t="str">
        <f>IFERROR(__xludf.DUMMYFUNCTION("IF(E326&gt;0, MIN(FILTER(active!H:H, (active!D:D = A326) * (active!F:F = ""Processed and Borrowed""))), """")"),"")</f>
        <v/>
      </c>
      <c r="H326" s="7"/>
      <c r="I326" s="7"/>
      <c r="J326" s="7"/>
    </row>
    <row r="327">
      <c r="A327" s="2">
        <v>9.7803455144E12</v>
      </c>
      <c r="B327" s="2" t="s">
        <v>617</v>
      </c>
      <c r="C327" s="2" t="s">
        <v>618</v>
      </c>
      <c r="D327" s="4">
        <v>1.0</v>
      </c>
      <c r="E327" s="7">
        <f>IF(
  COUNTIFS(active!D:D, A327, active!F:F, "Processed and Borrowed") &gt; D327,
  "Error",
  COUNTIFS(active!D:D, A327, active!F:F, "Processed and Borrowed")
)
</f>
        <v>0</v>
      </c>
      <c r="F327" s="7" t="str">
        <f t="shared" si="1"/>
        <v>Available</v>
      </c>
      <c r="G327" s="9" t="str">
        <f>IFERROR(__xludf.DUMMYFUNCTION("IF(E327&gt;0, MIN(FILTER(active!H:H, (active!D:D = A327) * (active!F:F = ""Processed and Borrowed""))), """")"),"")</f>
        <v/>
      </c>
      <c r="H327" s="7"/>
      <c r="I327" s="7"/>
      <c r="J327" s="7"/>
    </row>
    <row r="328">
      <c r="A328" s="2">
        <v>9.781524763176E12</v>
      </c>
      <c r="B328" s="2" t="s">
        <v>619</v>
      </c>
      <c r="C328" s="2" t="s">
        <v>493</v>
      </c>
      <c r="D328" s="4">
        <v>1.0</v>
      </c>
      <c r="E328" s="7">
        <f>IF(
  COUNTIFS(active!D:D, A328, active!F:F, "Processed and Borrowed") &gt; D328,
  "Error",
  COUNTIFS(active!D:D, A328, active!F:F, "Processed and Borrowed")
)
</f>
        <v>0</v>
      </c>
      <c r="F328" s="7" t="str">
        <f t="shared" si="1"/>
        <v>Available</v>
      </c>
      <c r="G328" s="9" t="str">
        <f>IFERROR(__xludf.DUMMYFUNCTION("IF(E328&gt;0, MIN(FILTER(active!H:H, (active!D:D = A328) * (active!F:F = ""Processed and Borrowed""))), """")"),"")</f>
        <v/>
      </c>
      <c r="H328" s="7"/>
      <c r="I328" s="7"/>
      <c r="J328" s="7"/>
    </row>
    <row r="329">
      <c r="A329" s="2">
        <v>9.780425119655E12</v>
      </c>
      <c r="B329" s="2" t="s">
        <v>620</v>
      </c>
      <c r="C329" s="2" t="s">
        <v>369</v>
      </c>
      <c r="D329" s="4">
        <v>1.0</v>
      </c>
      <c r="E329" s="7">
        <f>IF(
  COUNTIFS(active!D:D, A329, active!F:F, "Processed and Borrowed") &gt; D329,
  "Error",
  COUNTIFS(active!D:D, A329, active!F:F, "Processed and Borrowed")
)
</f>
        <v>0</v>
      </c>
      <c r="F329" s="7" t="str">
        <f t="shared" si="1"/>
        <v>Available</v>
      </c>
      <c r="G329" s="9" t="str">
        <f>IFERROR(__xludf.DUMMYFUNCTION("IF(E329&gt;0, MIN(FILTER(active!H:H, (active!D:D = A329) * (active!F:F = ""Processed and Borrowed""))), """")"),"")</f>
        <v/>
      </c>
      <c r="H329" s="7"/>
      <c r="I329" s="7"/>
      <c r="J329" s="7"/>
    </row>
    <row r="330">
      <c r="A330" s="2">
        <v>9.780553384666E12</v>
      </c>
      <c r="B330" s="2" t="s">
        <v>621</v>
      </c>
      <c r="C330" s="2" t="s">
        <v>28</v>
      </c>
      <c r="D330" s="4">
        <v>1.0</v>
      </c>
      <c r="E330" s="7">
        <f>IF(
  COUNTIFS(active!D:D, A330, active!F:F, "Processed and Borrowed") &gt; D330,
  "Error",
  COUNTIFS(active!D:D, A330, active!F:F, "Processed and Borrowed")
)
</f>
        <v>0</v>
      </c>
      <c r="F330" s="7" t="str">
        <f t="shared" si="1"/>
        <v>Available</v>
      </c>
      <c r="G330" s="9" t="str">
        <f>IFERROR(__xludf.DUMMYFUNCTION("IF(E330&gt;0, MIN(FILTER(active!H:H, (active!D:D = A330) * (active!F:F = ""Processed and Borrowed""))), """")"),"")</f>
        <v/>
      </c>
      <c r="H330" s="7"/>
      <c r="I330" s="7"/>
      <c r="J330" s="7"/>
    </row>
    <row r="331">
      <c r="A331" s="2">
        <v>9.780938077268E12</v>
      </c>
      <c r="B331" s="2" t="s">
        <v>622</v>
      </c>
      <c r="C331" s="2" t="s">
        <v>623</v>
      </c>
      <c r="D331" s="4">
        <v>1.0</v>
      </c>
      <c r="E331" s="7">
        <f>IF(
  COUNTIFS(active!D:D, A331, active!F:F, "Processed and Borrowed") &gt; D331,
  "Error",
  COUNTIFS(active!D:D, A331, active!F:F, "Processed and Borrowed")
)
</f>
        <v>0</v>
      </c>
      <c r="F331" s="7" t="str">
        <f t="shared" si="1"/>
        <v>Available</v>
      </c>
      <c r="G331" s="9" t="str">
        <f>IFERROR(__xludf.DUMMYFUNCTION("IF(E331&gt;0, MIN(FILTER(active!H:H, (active!D:D = A331) * (active!F:F = ""Processed and Borrowed""))), """")"),"")</f>
        <v/>
      </c>
      <c r="H331" s="7"/>
      <c r="I331" s="7"/>
      <c r="J331" s="7"/>
    </row>
    <row r="332">
      <c r="A332" s="2">
        <v>9.780241348482E12</v>
      </c>
      <c r="B332" s="2" t="s">
        <v>624</v>
      </c>
      <c r="C332" s="2" t="s">
        <v>625</v>
      </c>
      <c r="D332" s="4">
        <v>1.0</v>
      </c>
      <c r="E332" s="7">
        <f>IF(
  COUNTIFS(active!D:D, A332, active!F:F, "Processed and Borrowed") &gt; D332,
  "Error",
  COUNTIFS(active!D:D, A332, active!F:F, "Processed and Borrowed")
)
</f>
        <v>0</v>
      </c>
      <c r="F332" s="7" t="str">
        <f t="shared" si="1"/>
        <v>Available</v>
      </c>
      <c r="G332" s="9" t="str">
        <f>IFERROR(__xludf.DUMMYFUNCTION("IF(E332&gt;0, MIN(FILTER(active!H:H, (active!D:D = A332) * (active!F:F = ""Processed and Borrowed""))), """")"),"")</f>
        <v/>
      </c>
      <c r="H332" s="7"/>
      <c r="I332" s="7"/>
      <c r="J332" s="7"/>
    </row>
    <row r="333">
      <c r="A333" s="2">
        <v>9.78009951828E12</v>
      </c>
      <c r="B333" s="2" t="s">
        <v>626</v>
      </c>
      <c r="C333" s="2" t="s">
        <v>595</v>
      </c>
      <c r="D333" s="4">
        <v>1.0</v>
      </c>
      <c r="E333" s="7">
        <f>IF(
  COUNTIFS(active!D:D, A333, active!F:F, "Processed and Borrowed") &gt; D333,
  "Error",
  COUNTIFS(active!D:D, A333, active!F:F, "Processed and Borrowed")
)
</f>
        <v>0</v>
      </c>
      <c r="F333" s="7" t="str">
        <f t="shared" si="1"/>
        <v>Available</v>
      </c>
      <c r="G333" s="9" t="str">
        <f>IFERROR(__xludf.DUMMYFUNCTION("IF(E333&gt;0, MIN(FILTER(active!H:H, (active!D:D = A333) * (active!F:F = ""Processed and Borrowed""))), """")"),"")</f>
        <v/>
      </c>
      <c r="H333" s="7"/>
      <c r="I333" s="7"/>
      <c r="J333" s="7"/>
    </row>
    <row r="334">
      <c r="A334" s="2">
        <v>9.780099416937E12</v>
      </c>
      <c r="B334" s="2" t="s">
        <v>627</v>
      </c>
      <c r="C334" s="2" t="s">
        <v>628</v>
      </c>
      <c r="D334" s="4">
        <v>1.0</v>
      </c>
      <c r="E334" s="7">
        <f>IF(
  COUNTIFS(active!D:D, A334, active!F:F, "Processed and Borrowed") &gt; D334,
  "Error",
  COUNTIFS(active!D:D, A334, active!F:F, "Processed and Borrowed")
)
</f>
        <v>0</v>
      </c>
      <c r="F334" s="7" t="str">
        <f t="shared" si="1"/>
        <v>Available</v>
      </c>
      <c r="G334" s="9" t="str">
        <f>IFERROR(__xludf.DUMMYFUNCTION("IF(E334&gt;0, MIN(FILTER(active!H:H, (active!D:D = A334) * (active!F:F = ""Processed and Borrowed""))), """")"),"")</f>
        <v/>
      </c>
      <c r="H334" s="7"/>
      <c r="I334" s="7"/>
      <c r="J334" s="7"/>
    </row>
    <row r="335">
      <c r="A335" s="2">
        <v>9.780452286351E12</v>
      </c>
      <c r="B335" s="2" t="s">
        <v>629</v>
      </c>
      <c r="C335" s="2" t="s">
        <v>630</v>
      </c>
      <c r="D335" s="4">
        <v>1.0</v>
      </c>
      <c r="E335" s="7">
        <f>IF(
  COUNTIFS(active!D:D, A335, active!F:F, "Processed and Borrowed") &gt; D335,
  "Error",
  COUNTIFS(active!D:D, A335, active!F:F, "Processed and Borrowed")
)
</f>
        <v>0</v>
      </c>
      <c r="F335" s="7" t="str">
        <f t="shared" si="1"/>
        <v>Available</v>
      </c>
      <c r="G335" s="9" t="str">
        <f>IFERROR(__xludf.DUMMYFUNCTION("IF(E335&gt;0, MIN(FILTER(active!H:H, (active!D:D = A335) * (active!F:F = ""Processed and Borrowed""))), """")"),"")</f>
        <v/>
      </c>
      <c r="H335" s="7"/>
      <c r="I335" s="7"/>
      <c r="J335" s="7"/>
    </row>
    <row r="336">
      <c r="A336" s="2">
        <v>9.78076435173E12</v>
      </c>
      <c r="B336" s="2" t="s">
        <v>631</v>
      </c>
      <c r="C336" s="2" t="s">
        <v>632</v>
      </c>
      <c r="D336" s="4">
        <v>1.0</v>
      </c>
      <c r="E336" s="7">
        <f>IF(
  COUNTIFS(active!D:D, A336, active!F:F, "Processed and Borrowed") &gt; D336,
  "Error",
  COUNTIFS(active!D:D, A336, active!F:F, "Processed and Borrowed")
)
</f>
        <v>0</v>
      </c>
      <c r="F336" s="7" t="str">
        <f t="shared" si="1"/>
        <v>Available</v>
      </c>
      <c r="G336" s="9" t="str">
        <f>IFERROR(__xludf.DUMMYFUNCTION("IF(E336&gt;0, MIN(FILTER(active!H:H, (active!D:D = A336) * (active!F:F = ""Processed and Borrowed""))), """")"),"")</f>
        <v/>
      </c>
      <c r="H336" s="7"/>
      <c r="I336" s="7"/>
      <c r="J336" s="7"/>
    </row>
    <row r="337">
      <c r="A337" s="2">
        <v>9.781860634635E12</v>
      </c>
      <c r="B337" s="2" t="s">
        <v>633</v>
      </c>
      <c r="C337" s="2" t="s">
        <v>634</v>
      </c>
      <c r="D337" s="4">
        <v>1.0</v>
      </c>
      <c r="E337" s="7">
        <f>IF(
  COUNTIFS(active!D:D, A337, active!F:F, "Processed and Borrowed") &gt; D337,
  "Error",
  COUNTIFS(active!D:D, A337, active!F:F, "Processed and Borrowed")
)
</f>
        <v>0</v>
      </c>
      <c r="F337" s="7" t="str">
        <f t="shared" si="1"/>
        <v>Available</v>
      </c>
      <c r="G337" s="9" t="str">
        <f>IFERROR(__xludf.DUMMYFUNCTION("IF(E337&gt;0, MIN(FILTER(active!H:H, (active!D:D = A337) * (active!F:F = ""Processed and Borrowed""))), """")"),"")</f>
        <v/>
      </c>
      <c r="H337" s="7"/>
      <c r="I337" s="7"/>
      <c r="J337" s="7"/>
    </row>
    <row r="338">
      <c r="A338" s="2">
        <v>9.780307473332E12</v>
      </c>
      <c r="B338" s="2" t="s">
        <v>635</v>
      </c>
      <c r="C338" s="2" t="s">
        <v>401</v>
      </c>
      <c r="D338" s="4">
        <v>1.0</v>
      </c>
      <c r="E338" s="7">
        <f>IF(
  COUNTIFS(active!D:D, A338, active!F:F, "Processed and Borrowed") &gt; D338,
  "Error",
  COUNTIFS(active!D:D, A338, active!F:F, "Processed and Borrowed")
)
</f>
        <v>0</v>
      </c>
      <c r="F338" s="7" t="str">
        <f t="shared" si="1"/>
        <v>Available</v>
      </c>
      <c r="G338" s="9" t="str">
        <f>IFERROR(__xludf.DUMMYFUNCTION("IF(E338&gt;0, MIN(FILTER(active!H:H, (active!D:D = A338) * (active!F:F = ""Processed and Borrowed""))), """")"),"")</f>
        <v/>
      </c>
      <c r="H338" s="7"/>
      <c r="I338" s="7"/>
      <c r="J338" s="7"/>
    </row>
    <row r="339">
      <c r="A339" s="2">
        <v>9.780241287286E12</v>
      </c>
      <c r="B339" s="2" t="s">
        <v>636</v>
      </c>
      <c r="C339" s="2" t="s">
        <v>330</v>
      </c>
      <c r="D339" s="4">
        <v>1.0</v>
      </c>
      <c r="E339" s="7">
        <f>IF(
  COUNTIFS(active!D:D, A339, active!F:F, "Processed and Borrowed") &gt; D339,
  "Error",
  COUNTIFS(active!D:D, A339, active!F:F, "Processed and Borrowed")
)
</f>
        <v>0</v>
      </c>
      <c r="F339" s="7" t="str">
        <f t="shared" si="1"/>
        <v>Available</v>
      </c>
      <c r="G339" s="9" t="str">
        <f>IFERROR(__xludf.DUMMYFUNCTION("IF(E339&gt;0, MIN(FILTER(active!H:H, (active!D:D = A339) * (active!F:F = ""Processed and Borrowed""))), """")"),"")</f>
        <v/>
      </c>
      <c r="H339" s="7"/>
      <c r="I339" s="7"/>
      <c r="J339" s="7"/>
    </row>
    <row r="340">
      <c r="A340" s="2">
        <v>9.781857338744E12</v>
      </c>
      <c r="B340" s="2" t="s">
        <v>637</v>
      </c>
      <c r="C340" s="2" t="s">
        <v>638</v>
      </c>
      <c r="D340" s="4">
        <v>1.0</v>
      </c>
      <c r="E340" s="7">
        <f>IF(
  COUNTIFS(active!D:D, A340, active!F:F, "Processed and Borrowed") &gt; D340,
  "Error",
  COUNTIFS(active!D:D, A340, active!F:F, "Processed and Borrowed")
)
</f>
        <v>0</v>
      </c>
      <c r="F340" s="7" t="str">
        <f t="shared" si="1"/>
        <v>Available</v>
      </c>
      <c r="G340" s="9" t="str">
        <f>IFERROR(__xludf.DUMMYFUNCTION("IF(E340&gt;0, MIN(FILTER(active!H:H, (active!D:D = A340) * (active!F:F = ""Processed and Borrowed""))), """")"),"")</f>
        <v/>
      </c>
      <c r="H340" s="7"/>
      <c r="I340" s="7"/>
      <c r="J340" s="7"/>
    </row>
    <row r="341">
      <c r="A341" s="2">
        <v>9.781615199143E12</v>
      </c>
      <c r="B341" s="2" t="s">
        <v>639</v>
      </c>
      <c r="C341" s="2" t="s">
        <v>640</v>
      </c>
      <c r="D341" s="4">
        <v>1.0</v>
      </c>
      <c r="E341" s="7">
        <f>IF(
  COUNTIFS(active!D:D, A341, active!F:F, "Processed and Borrowed") &gt; D341,
  "Error",
  COUNTIFS(active!D:D, A341, active!F:F, "Processed and Borrowed")
)
</f>
        <v>0</v>
      </c>
      <c r="F341" s="7" t="str">
        <f t="shared" si="1"/>
        <v>Available</v>
      </c>
      <c r="G341" s="9" t="str">
        <f>IFERROR(__xludf.DUMMYFUNCTION("IF(E341&gt;0, MIN(FILTER(active!H:H, (active!D:D = A341) * (active!F:F = ""Processed and Borrowed""))), """")"),"")</f>
        <v/>
      </c>
      <c r="H341" s="7"/>
      <c r="I341" s="7"/>
      <c r="J341" s="7"/>
    </row>
    <row r="342">
      <c r="A342" s="2">
        <v>9.780006375951E12</v>
      </c>
      <c r="B342" s="2" t="s">
        <v>641</v>
      </c>
      <c r="C342" s="2" t="s">
        <v>642</v>
      </c>
      <c r="D342" s="4">
        <v>1.0</v>
      </c>
      <c r="E342" s="7">
        <f>IF(
  COUNTIFS(active!D:D, A342, active!F:F, "Processed and Borrowed") &gt; D342,
  "Error",
  COUNTIFS(active!D:D, A342, active!F:F, "Processed and Borrowed")
)
</f>
        <v>0</v>
      </c>
      <c r="F342" s="7" t="str">
        <f t="shared" si="1"/>
        <v>Available</v>
      </c>
      <c r="G342" s="9" t="str">
        <f>IFERROR(__xludf.DUMMYFUNCTION("IF(E342&gt;0, MIN(FILTER(active!H:H, (active!D:D = A342) * (active!F:F = ""Processed and Borrowed""))), """")"),"")</f>
        <v/>
      </c>
      <c r="H342" s="7"/>
      <c r="I342" s="7"/>
      <c r="J342" s="7"/>
    </row>
    <row r="343">
      <c r="A343" s="2">
        <v>9.781786574862E12</v>
      </c>
      <c r="B343" s="2" t="s">
        <v>643</v>
      </c>
      <c r="C343" s="2" t="s">
        <v>644</v>
      </c>
      <c r="D343" s="4">
        <v>1.0</v>
      </c>
      <c r="E343" s="7">
        <f>IF(
  COUNTIFS(active!D:D, A343, active!F:F, "Processed and Borrowed") &gt; D343,
  "Error",
  COUNTIFS(active!D:D, A343, active!F:F, "Processed and Borrowed")
)
</f>
        <v>0</v>
      </c>
      <c r="F343" s="7" t="str">
        <f t="shared" si="1"/>
        <v>Available</v>
      </c>
      <c r="G343" s="9" t="str">
        <f>IFERROR(__xludf.DUMMYFUNCTION("IF(E343&gt;0, MIN(FILTER(active!H:H, (active!D:D = A343) * (active!F:F = ""Processed and Borrowed""))), """")"),"")</f>
        <v/>
      </c>
      <c r="H343" s="7"/>
      <c r="I343" s="7"/>
      <c r="J343" s="7"/>
    </row>
    <row r="344">
      <c r="A344" s="2">
        <v>9.780894108815E12</v>
      </c>
      <c r="B344" s="2" t="s">
        <v>645</v>
      </c>
      <c r="C344" s="2" t="s">
        <v>646</v>
      </c>
      <c r="D344" s="4">
        <v>1.0</v>
      </c>
      <c r="E344" s="7">
        <f>IF(
  COUNTIFS(active!D:D, A344, active!F:F, "Processed and Borrowed") &gt; D344,
  "Error",
  COUNTIFS(active!D:D, A344, active!F:F, "Processed and Borrowed")
)
</f>
        <v>0</v>
      </c>
      <c r="F344" s="7" t="str">
        <f t="shared" si="1"/>
        <v>Available</v>
      </c>
      <c r="G344" s="9" t="str">
        <f>IFERROR(__xludf.DUMMYFUNCTION("IF(E344&gt;0, MIN(FILTER(active!H:H, (active!D:D = A344) * (active!F:F = ""Processed and Borrowed""))), """")"),"")</f>
        <v/>
      </c>
      <c r="H344" s="7"/>
      <c r="I344" s="7"/>
      <c r="J344" s="7"/>
    </row>
    <row r="345">
      <c r="A345" s="2">
        <v>9.781938477072E12</v>
      </c>
      <c r="B345" s="2" t="s">
        <v>647</v>
      </c>
      <c r="C345" s="2" t="s">
        <v>648</v>
      </c>
      <c r="D345" s="4">
        <v>1.0</v>
      </c>
      <c r="E345" s="7">
        <f>IF(
  COUNTIFS(active!D:D, A345, active!F:F, "Processed and Borrowed") &gt; D345,
  "Error",
  COUNTIFS(active!D:D, A345, active!F:F, "Processed and Borrowed")
)
</f>
        <v>0</v>
      </c>
      <c r="F345" s="7" t="str">
        <f t="shared" si="1"/>
        <v>Available</v>
      </c>
      <c r="G345" s="9" t="str">
        <f>IFERROR(__xludf.DUMMYFUNCTION("IF(E345&gt;0, MIN(FILTER(active!H:H, (active!D:D = A345) * (active!F:F = ""Processed and Borrowed""))), """")"),"")</f>
        <v/>
      </c>
      <c r="H345" s="7"/>
      <c r="I345" s="7"/>
      <c r="J345" s="7"/>
    </row>
    <row r="346">
      <c r="A346" s="2">
        <v>9.781684112982E12</v>
      </c>
      <c r="B346" s="2" t="s">
        <v>649</v>
      </c>
      <c r="C346" s="2" t="s">
        <v>650</v>
      </c>
      <c r="D346" s="4">
        <v>1.0</v>
      </c>
      <c r="E346" s="7">
        <f>IF(
  COUNTIFS(active!D:D, A346, active!F:F, "Processed and Borrowed") &gt; D346,
  "Error",
  COUNTIFS(active!D:D, A346, active!F:F, "Processed and Borrowed")
)
</f>
        <v>0</v>
      </c>
      <c r="F346" s="7" t="str">
        <f t="shared" si="1"/>
        <v>Available</v>
      </c>
      <c r="G346" s="9" t="str">
        <f>IFERROR(__xludf.DUMMYFUNCTION("IF(E346&gt;0, MIN(FILTER(active!H:H, (active!D:D = A346) * (active!F:F = ""Processed and Borrowed""))), """")"),"")</f>
        <v/>
      </c>
      <c r="H346" s="7"/>
      <c r="I346" s="7"/>
      <c r="J346" s="7"/>
    </row>
    <row r="347">
      <c r="A347" s="2">
        <v>9.780593081853E12</v>
      </c>
      <c r="B347" s="2" t="s">
        <v>651</v>
      </c>
      <c r="C347" s="2" t="s">
        <v>652</v>
      </c>
      <c r="D347" s="4">
        <v>1.0</v>
      </c>
      <c r="E347" s="7">
        <f>IF(
  COUNTIFS(active!D:D, A347, active!F:F, "Processed and Borrowed") &gt; D347,
  "Error",
  COUNTIFS(active!D:D, A347, active!F:F, "Processed and Borrowed")
)
</f>
        <v>0</v>
      </c>
      <c r="F347" s="7" t="str">
        <f t="shared" si="1"/>
        <v>Available</v>
      </c>
      <c r="G347" s="9" t="str">
        <f>IFERROR(__xludf.DUMMYFUNCTION("IF(E347&gt;0, MIN(FILTER(active!H:H, (active!D:D = A347) * (active!F:F = ""Processed and Borrowed""))), """")"),"")</f>
        <v/>
      </c>
      <c r="H347" s="7"/>
      <c r="I347" s="7"/>
      <c r="J347" s="7"/>
    </row>
    <row r="348">
      <c r="A348" s="2">
        <v>9.781408864425E12</v>
      </c>
      <c r="B348" s="2" t="s">
        <v>653</v>
      </c>
      <c r="C348" s="2" t="s">
        <v>654</v>
      </c>
      <c r="D348" s="4">
        <v>1.0</v>
      </c>
      <c r="E348" s="7">
        <f>IF(
  COUNTIFS(active!D:D, A348, active!F:F, "Processed and Borrowed") &gt; D348,
  "Error",
  COUNTIFS(active!D:D, A348, active!F:F, "Processed and Borrowed")
)
</f>
        <v>0</v>
      </c>
      <c r="F348" s="7" t="str">
        <f t="shared" si="1"/>
        <v>Available</v>
      </c>
      <c r="G348" s="9" t="str">
        <f>IFERROR(__xludf.DUMMYFUNCTION("IF(E348&gt;0, MIN(FILTER(active!H:H, (active!D:D = A348) * (active!F:F = ""Processed and Borrowed""))), """")"),"")</f>
        <v/>
      </c>
      <c r="H348" s="7"/>
      <c r="I348" s="7"/>
      <c r="J348" s="7"/>
    </row>
    <row r="349">
      <c r="A349" s="2">
        <v>9.78009928992E12</v>
      </c>
      <c r="B349" s="2" t="s">
        <v>655</v>
      </c>
      <c r="C349" s="2" t="s">
        <v>36</v>
      </c>
      <c r="D349" s="4">
        <v>1.0</v>
      </c>
      <c r="E349" s="7">
        <f>IF(
  COUNTIFS(active!D:D, A349, active!F:F, "Processed and Borrowed") &gt; D349,
  "Error",
  COUNTIFS(active!D:D, A349, active!F:F, "Processed and Borrowed")
)
</f>
        <v>0</v>
      </c>
      <c r="F349" s="7" t="str">
        <f t="shared" si="1"/>
        <v>Available</v>
      </c>
      <c r="G349" s="9" t="str">
        <f>IFERROR(__xludf.DUMMYFUNCTION("IF(E349&gt;0, MIN(FILTER(active!H:H, (active!D:D = A349) * (active!F:F = ""Processed and Borrowed""))), """")"),"")</f>
        <v/>
      </c>
      <c r="H349" s="7"/>
      <c r="I349" s="7"/>
      <c r="J349" s="7"/>
    </row>
    <row r="350">
      <c r="A350" s="2">
        <v>9.780593467008E12</v>
      </c>
      <c r="B350" s="2" t="s">
        <v>656</v>
      </c>
      <c r="C350" s="2" t="s">
        <v>401</v>
      </c>
      <c r="D350" s="4">
        <v>1.0</v>
      </c>
      <c r="E350" s="7">
        <f>IF(
  COUNTIFS(active!D:D, A350, active!F:F, "Processed and Borrowed") &gt; D350,
  "Error",
  COUNTIFS(active!D:D, A350, active!F:F, "Processed and Borrowed")
)
</f>
        <v>0</v>
      </c>
      <c r="F350" s="7" t="str">
        <f t="shared" si="1"/>
        <v>Available</v>
      </c>
      <c r="G350" s="9" t="str">
        <f>IFERROR(__xludf.DUMMYFUNCTION("IF(E350&gt;0, MIN(FILTER(active!H:H, (active!D:D = A350) * (active!F:F = ""Processed and Borrowed""))), """")"),"")</f>
        <v/>
      </c>
      <c r="H350" s="7"/>
      <c r="I350" s="7"/>
      <c r="J350" s="7"/>
    </row>
    <row r="351">
      <c r="A351" s="2">
        <v>9.780393355628E12</v>
      </c>
      <c r="B351" s="2" t="s">
        <v>361</v>
      </c>
      <c r="C351" s="2" t="s">
        <v>362</v>
      </c>
      <c r="D351" s="4">
        <v>1.0</v>
      </c>
      <c r="E351" s="7">
        <f>IF(
  COUNTIFS(active!D:D, A351, active!F:F, "Processed and Borrowed") &gt; D351,
  "Error",
  COUNTIFS(active!D:D, A351, active!F:F, "Processed and Borrowed")
)
</f>
        <v>0</v>
      </c>
      <c r="F351" s="7" t="str">
        <f t="shared" si="1"/>
        <v>Available</v>
      </c>
      <c r="G351" s="9" t="str">
        <f>IFERROR(__xludf.DUMMYFUNCTION("IF(E351&gt;0, MIN(FILTER(active!H:H, (active!D:D = A351) * (active!F:F = ""Processed and Borrowed""))), """")"),"")</f>
        <v/>
      </c>
      <c r="H351" s="7"/>
      <c r="I351" s="7"/>
      <c r="J351" s="7"/>
    </row>
    <row r="352">
      <c r="A352" s="2">
        <v>9.780241972939E12</v>
      </c>
      <c r="B352" s="2" t="s">
        <v>387</v>
      </c>
      <c r="C352" s="2" t="s">
        <v>385</v>
      </c>
      <c r="D352" s="4">
        <v>1.0</v>
      </c>
      <c r="E352" s="7">
        <f>IF(
  COUNTIFS(active!D:D, A352, active!F:F, "Processed and Borrowed") &gt; D352,
  "Error",
  COUNTIFS(active!D:D, A352, active!F:F, "Processed and Borrowed")
)
</f>
        <v>0</v>
      </c>
      <c r="F352" s="7" t="str">
        <f t="shared" si="1"/>
        <v>Available</v>
      </c>
      <c r="G352" s="9" t="str">
        <f>IFERROR(__xludf.DUMMYFUNCTION("IF(E352&gt;0, MIN(FILTER(active!H:H, (active!D:D = A352) * (active!F:F = ""Processed and Borrowed""))), """")"),"")</f>
        <v/>
      </c>
      <c r="H352" s="7"/>
      <c r="I352" s="7"/>
      <c r="J352" s="7"/>
    </row>
    <row r="353">
      <c r="A353" s="2">
        <v>9.781951949396E12</v>
      </c>
      <c r="B353" s="2" t="s">
        <v>657</v>
      </c>
      <c r="C353" s="2" t="s">
        <v>658</v>
      </c>
      <c r="D353" s="4">
        <v>1.0</v>
      </c>
      <c r="E353" s="7">
        <f>IF(
  COUNTIFS(active!D:D, A353, active!F:F, "Processed and Borrowed") &gt; D353,
  "Error",
  COUNTIFS(active!D:D, A353, active!F:F, "Processed and Borrowed")
)
</f>
        <v>0</v>
      </c>
      <c r="F353" s="7" t="str">
        <f t="shared" si="1"/>
        <v>Available</v>
      </c>
      <c r="G353" s="9" t="str">
        <f>IFERROR(__xludf.DUMMYFUNCTION("IF(E353&gt;0, MIN(FILTER(active!H:H, (active!D:D = A353) * (active!F:F = ""Processed and Borrowed""))), """")"),"")</f>
        <v/>
      </c>
      <c r="H353" s="7"/>
      <c r="I353" s="7"/>
      <c r="J353" s="7"/>
    </row>
    <row r="354">
      <c r="A354" s="2">
        <v>9.780300192346E12</v>
      </c>
      <c r="B354" s="2" t="s">
        <v>659</v>
      </c>
      <c r="C354" s="2" t="s">
        <v>660</v>
      </c>
      <c r="D354" s="4">
        <v>1.0</v>
      </c>
      <c r="E354" s="7">
        <f>IF(
  COUNTIFS(active!D:D, A354, active!F:F, "Processed and Borrowed") &gt; D354,
  "Error",
  COUNTIFS(active!D:D, A354, active!F:F, "Processed and Borrowed")
)
</f>
        <v>0</v>
      </c>
      <c r="F354" s="7" t="str">
        <f t="shared" si="1"/>
        <v>Available</v>
      </c>
      <c r="G354" s="9" t="str">
        <f>IFERROR(__xludf.DUMMYFUNCTION("IF(E354&gt;0, MIN(FILTER(active!H:H, (active!D:D = A354) * (active!F:F = ""Processed and Borrowed""))), """")"),"")</f>
        <v/>
      </c>
      <c r="H354" s="7"/>
      <c r="I354" s="7"/>
      <c r="J354" s="7"/>
    </row>
    <row r="355">
      <c r="A355" s="2">
        <v>9.780691165851E12</v>
      </c>
      <c r="B355" s="2" t="s">
        <v>661</v>
      </c>
      <c r="C355" s="2" t="s">
        <v>662</v>
      </c>
      <c r="D355" s="4">
        <v>1.0</v>
      </c>
      <c r="E355" s="7">
        <f>IF(
  COUNTIFS(active!D:D, A355, active!F:F, "Processed and Borrowed") &gt; D355,
  "Error",
  COUNTIFS(active!D:D, A355, active!F:F, "Processed and Borrowed")
)
</f>
        <v>0</v>
      </c>
      <c r="F355" s="7" t="str">
        <f t="shared" si="1"/>
        <v>Available</v>
      </c>
      <c r="G355" s="9" t="str">
        <f>IFERROR(__xludf.DUMMYFUNCTION("IF(E355&gt;0, MIN(FILTER(active!H:H, (active!D:D = A355) * (active!F:F = ""Processed and Borrowed""))), """")"),"")</f>
        <v/>
      </c>
      <c r="H355" s="7"/>
      <c r="I355" s="7"/>
      <c r="J355" s="7"/>
    </row>
    <row r="356">
      <c r="D356" s="5">
        <f>SUM(D2:D355)</f>
        <v>443</v>
      </c>
      <c r="E356" s="7"/>
      <c r="G356" s="9" t="str">
        <f>IFERROR(__xludf.DUMMYFUNCTION("IF(E356&gt;0, MIN(FILTER(active!H:H, (active!D:D = A356) * (active!F:F = ""Processed and Borrowed""))), """")"),"")</f>
        <v/>
      </c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3.38"/>
    <col customWidth="1" min="3" max="3" width="22.0"/>
  </cols>
  <sheetData>
    <row r="1">
      <c r="A1" s="1" t="s">
        <v>0</v>
      </c>
      <c r="B1" s="1" t="s">
        <v>1</v>
      </c>
      <c r="C1" s="1" t="s">
        <v>2</v>
      </c>
    </row>
    <row r="2">
      <c r="A2" s="3">
        <v>9.780141184944E12</v>
      </c>
      <c r="B2" s="2" t="s">
        <v>7</v>
      </c>
      <c r="C2" s="2" t="s">
        <v>8</v>
      </c>
    </row>
    <row r="3">
      <c r="A3" s="3">
        <v>9.780393609394E12</v>
      </c>
      <c r="B3" s="2" t="s">
        <v>9</v>
      </c>
      <c r="C3" s="2" t="s">
        <v>10</v>
      </c>
    </row>
    <row r="4">
      <c r="A4" s="3">
        <v>9.780099590088E12</v>
      </c>
      <c r="B4" s="2" t="s">
        <v>11</v>
      </c>
      <c r="C4" s="2" t="s">
        <v>12</v>
      </c>
    </row>
    <row r="5">
      <c r="A5" s="3">
        <v>9.780241958223E12</v>
      </c>
      <c r="B5" s="2" t="s">
        <v>13</v>
      </c>
      <c r="C5" s="2" t="s">
        <v>14</v>
      </c>
    </row>
    <row r="6">
      <c r="A6" s="3">
        <v>9.781509877027E12</v>
      </c>
      <c r="B6" s="2" t="s">
        <v>15</v>
      </c>
      <c r="C6" s="2" t="s">
        <v>16</v>
      </c>
    </row>
    <row r="7">
      <c r="A7" s="3">
        <v>9.780340733509E12</v>
      </c>
      <c r="B7" s="2" t="s">
        <v>17</v>
      </c>
      <c r="C7" s="2" t="s">
        <v>18</v>
      </c>
    </row>
    <row r="8">
      <c r="A8" s="3">
        <v>9.780141983769E12</v>
      </c>
      <c r="B8" s="2" t="s">
        <v>19</v>
      </c>
      <c r="C8" s="2" t="s">
        <v>20</v>
      </c>
    </row>
    <row r="9">
      <c r="A9" s="3">
        <v>9.780349107035E12</v>
      </c>
      <c r="B9" s="2" t="s">
        <v>21</v>
      </c>
      <c r="C9" s="2" t="s">
        <v>22</v>
      </c>
    </row>
    <row r="10">
      <c r="A10" s="2">
        <v>9.780340960196E12</v>
      </c>
      <c r="B10" s="2" t="s">
        <v>23</v>
      </c>
      <c r="C10" s="2" t="s">
        <v>24</v>
      </c>
    </row>
    <row r="11">
      <c r="A11" s="2">
        <v>9.780753828434E12</v>
      </c>
      <c r="B11" s="2" t="s">
        <v>25</v>
      </c>
      <c r="C11" s="2" t="s">
        <v>26</v>
      </c>
    </row>
    <row r="12">
      <c r="A12" s="2">
        <v>9.780857501004E12</v>
      </c>
      <c r="B12" s="2" t="s">
        <v>27</v>
      </c>
      <c r="C12" s="2" t="s">
        <v>28</v>
      </c>
    </row>
    <row r="13">
      <c r="A13" s="2">
        <v>9.781847941831E12</v>
      </c>
      <c r="B13" s="2" t="s">
        <v>29</v>
      </c>
      <c r="C13" s="2" t="s">
        <v>30</v>
      </c>
    </row>
    <row r="14">
      <c r="A14" s="2">
        <v>9.780099477464E12</v>
      </c>
      <c r="B14" s="2" t="s">
        <v>31</v>
      </c>
      <c r="C14" s="2" t="s">
        <v>32</v>
      </c>
    </row>
    <row r="15">
      <c r="A15" s="2">
        <v>9.781844132393E12</v>
      </c>
      <c r="B15" s="2" t="s">
        <v>33</v>
      </c>
      <c r="C15" s="2" t="s">
        <v>34</v>
      </c>
    </row>
    <row r="16">
      <c r="A16" s="2">
        <v>9.78009928992E12</v>
      </c>
      <c r="B16" s="2" t="s">
        <v>35</v>
      </c>
      <c r="C16" s="2" t="s">
        <v>36</v>
      </c>
    </row>
    <row r="17">
      <c r="A17" s="2">
        <v>9.780007250929E12</v>
      </c>
      <c r="B17" s="2" t="s">
        <v>38</v>
      </c>
      <c r="C17" s="2" t="s">
        <v>39</v>
      </c>
    </row>
    <row r="18">
      <c r="A18" s="2">
        <v>9.780099584575E12</v>
      </c>
      <c r="B18" s="2" t="s">
        <v>41</v>
      </c>
      <c r="C18" s="2" t="s">
        <v>39</v>
      </c>
    </row>
    <row r="19">
      <c r="A19" s="2">
        <v>9.781405931564E12</v>
      </c>
      <c r="B19" s="2" t="s">
        <v>43</v>
      </c>
      <c r="C19" s="2" t="s">
        <v>44</v>
      </c>
    </row>
    <row r="20">
      <c r="A20" s="2">
        <v>9.781857028355E12</v>
      </c>
      <c r="B20" s="2" t="s">
        <v>46</v>
      </c>
      <c r="C20" s="2" t="s">
        <v>47</v>
      </c>
    </row>
    <row r="21">
      <c r="A21" s="2">
        <v>9.780345409461E12</v>
      </c>
      <c r="B21" s="2" t="s">
        <v>48</v>
      </c>
      <c r="C21" s="2" t="s">
        <v>22</v>
      </c>
    </row>
    <row r="22">
      <c r="A22" s="2">
        <v>9.780876120798E12</v>
      </c>
      <c r="B22" s="2" t="s">
        <v>49</v>
      </c>
      <c r="C22" s="2" t="s">
        <v>50</v>
      </c>
    </row>
    <row r="23">
      <c r="A23" s="2">
        <v>9.78152660475E12</v>
      </c>
      <c r="B23" s="2" t="s">
        <v>51</v>
      </c>
      <c r="C23" s="2" t="s">
        <v>52</v>
      </c>
    </row>
    <row r="24">
      <c r="A24" s="2">
        <v>9.781800244399E12</v>
      </c>
      <c r="B24" s="2" t="s">
        <v>53</v>
      </c>
      <c r="C24" s="2" t="s">
        <v>54</v>
      </c>
    </row>
    <row r="25">
      <c r="A25" s="2">
        <v>9.781786891686E12</v>
      </c>
      <c r="B25" s="2" t="s">
        <v>55</v>
      </c>
      <c r="C25" s="2" t="s">
        <v>56</v>
      </c>
    </row>
    <row r="26">
      <c r="A26" s="2">
        <v>9.781408851241E12</v>
      </c>
      <c r="B26" s="2" t="s">
        <v>57</v>
      </c>
      <c r="C26" s="2" t="s">
        <v>58</v>
      </c>
    </row>
    <row r="27">
      <c r="A27" s="2">
        <v>9.780141199702E12</v>
      </c>
      <c r="B27" s="2" t="s">
        <v>59</v>
      </c>
      <c r="C27" s="2" t="s">
        <v>60</v>
      </c>
    </row>
    <row r="28">
      <c r="A28" s="2">
        <v>9.780241982976E12</v>
      </c>
      <c r="B28" s="2" t="s">
        <v>61</v>
      </c>
      <c r="C28" s="2" t="s">
        <v>62</v>
      </c>
    </row>
    <row r="29">
      <c r="A29" s="2">
        <v>9.780140449136E12</v>
      </c>
      <c r="B29" s="2" t="s">
        <v>63</v>
      </c>
      <c r="C29" s="2" t="s">
        <v>64</v>
      </c>
    </row>
    <row r="30">
      <c r="A30" s="2">
        <v>9.780670923175E12</v>
      </c>
      <c r="B30" s="2" t="s">
        <v>65</v>
      </c>
      <c r="C30" s="2" t="s">
        <v>14</v>
      </c>
    </row>
    <row r="31">
      <c r="A31" s="2">
        <v>9.780140449334E12</v>
      </c>
      <c r="B31" s="2" t="s">
        <v>66</v>
      </c>
      <c r="C31" s="2" t="s">
        <v>67</v>
      </c>
    </row>
    <row r="32">
      <c r="A32" s="2">
        <v>9.781529038347E12</v>
      </c>
      <c r="B32" s="2" t="s">
        <v>68</v>
      </c>
      <c r="C32" s="2" t="s">
        <v>69</v>
      </c>
    </row>
    <row r="33">
      <c r="A33" s="2">
        <v>9.780141981727E12</v>
      </c>
      <c r="B33" s="2" t="s">
        <v>70</v>
      </c>
      <c r="C33" s="2" t="s">
        <v>71</v>
      </c>
    </row>
    <row r="34">
      <c r="A34" s="2">
        <v>9.781471146725E12</v>
      </c>
      <c r="B34" s="2" t="s">
        <v>72</v>
      </c>
      <c r="C34" s="2" t="s">
        <v>73</v>
      </c>
    </row>
    <row r="35">
      <c r="A35" s="2">
        <v>9.780241953181E12</v>
      </c>
      <c r="B35" s="2" t="s">
        <v>74</v>
      </c>
      <c r="C35" s="2" t="s">
        <v>75</v>
      </c>
    </row>
    <row r="36">
      <c r="A36" s="2">
        <v>9.781471195204E12</v>
      </c>
      <c r="B36" s="2" t="s">
        <v>76</v>
      </c>
      <c r="C36" s="2" t="s">
        <v>77</v>
      </c>
    </row>
    <row r="37">
      <c r="A37" s="2">
        <v>9.780722532935E12</v>
      </c>
      <c r="B37" s="2" t="s">
        <v>78</v>
      </c>
      <c r="C37" s="2" t="s">
        <v>79</v>
      </c>
    </row>
    <row r="38">
      <c r="A38" s="2">
        <v>9.780143105756E12</v>
      </c>
      <c r="B38" s="2" t="s">
        <v>80</v>
      </c>
      <c r="C38" s="2" t="s">
        <v>81</v>
      </c>
    </row>
    <row r="39">
      <c r="A39" s="2">
        <v>9.781784162122E12</v>
      </c>
      <c r="B39" s="2" t="s">
        <v>82</v>
      </c>
      <c r="C39" s="2" t="s">
        <v>83</v>
      </c>
    </row>
    <row r="40">
      <c r="A40" s="2">
        <v>9.780141315188E12</v>
      </c>
      <c r="B40" s="2" t="s">
        <v>84</v>
      </c>
      <c r="C40" s="2" t="s">
        <v>85</v>
      </c>
    </row>
    <row r="41">
      <c r="A41" s="2">
        <v>9.780099537168E12</v>
      </c>
      <c r="B41" s="2" t="s">
        <v>86</v>
      </c>
      <c r="C41" s="2" t="s">
        <v>87</v>
      </c>
    </row>
    <row r="42">
      <c r="A42" s="2">
        <v>9.78014103357E12</v>
      </c>
      <c r="B42" s="2" t="s">
        <v>89</v>
      </c>
      <c r="C42" s="2" t="s">
        <v>90</v>
      </c>
    </row>
    <row r="43">
      <c r="A43" s="2">
        <v>9.781784701994E12</v>
      </c>
      <c r="B43" s="2" t="s">
        <v>91</v>
      </c>
      <c r="C43" s="2" t="s">
        <v>92</v>
      </c>
    </row>
    <row r="44">
      <c r="A44" s="2">
        <v>9.780349411903E12</v>
      </c>
      <c r="B44" s="2" t="s">
        <v>93</v>
      </c>
      <c r="C44" s="2" t="s">
        <v>94</v>
      </c>
    </row>
    <row r="45">
      <c r="A45" s="2">
        <v>9.780753827666E12</v>
      </c>
      <c r="B45" s="2" t="s">
        <v>95</v>
      </c>
      <c r="C45" s="2" t="s">
        <v>96</v>
      </c>
    </row>
    <row r="46">
      <c r="A46" s="2">
        <v>9.781399607773E12</v>
      </c>
      <c r="B46" s="2" t="s">
        <v>98</v>
      </c>
      <c r="C46" s="2" t="s">
        <v>99</v>
      </c>
    </row>
    <row r="47">
      <c r="A47" s="2">
        <v>9.780349140438E12</v>
      </c>
      <c r="B47" s="2" t="s">
        <v>100</v>
      </c>
      <c r="C47" s="2" t="s">
        <v>101</v>
      </c>
    </row>
    <row r="48">
      <c r="A48" s="2">
        <v>9.781529432398E12</v>
      </c>
      <c r="B48" s="2" t="s">
        <v>102</v>
      </c>
      <c r="C48" s="2" t="s">
        <v>103</v>
      </c>
    </row>
    <row r="49">
      <c r="A49" s="2">
        <v>9.781409181637E12</v>
      </c>
      <c r="B49" s="2" t="s">
        <v>104</v>
      </c>
      <c r="C49" s="2" t="s">
        <v>105</v>
      </c>
    </row>
    <row r="50">
      <c r="A50" s="2">
        <v>9.781473649521E12</v>
      </c>
      <c r="B50" s="2" t="s">
        <v>106</v>
      </c>
      <c r="C50" s="2" t="s">
        <v>107</v>
      </c>
    </row>
    <row r="51">
      <c r="A51" s="2">
        <v>9.780008123208E12</v>
      </c>
      <c r="B51" s="2" t="s">
        <v>108</v>
      </c>
      <c r="C51" s="2" t="s">
        <v>109</v>
      </c>
    </row>
    <row r="52">
      <c r="A52" s="2">
        <v>9.780552164139E12</v>
      </c>
      <c r="B52" s="2" t="s">
        <v>110</v>
      </c>
      <c r="C52" s="2" t="s">
        <v>111</v>
      </c>
    </row>
    <row r="53">
      <c r="A53" s="2">
        <v>9.780099511021E12</v>
      </c>
      <c r="B53" s="2" t="s">
        <v>112</v>
      </c>
      <c r="C53" s="2" t="s">
        <v>113</v>
      </c>
    </row>
    <row r="54">
      <c r="A54" s="2">
        <v>9.780006546061E12</v>
      </c>
      <c r="B54" s="2" t="s">
        <v>114</v>
      </c>
      <c r="C54" s="2" t="s">
        <v>115</v>
      </c>
    </row>
    <row r="55">
      <c r="A55" s="2">
        <v>9.78071267609E12</v>
      </c>
      <c r="B55" s="2" t="s">
        <v>116</v>
      </c>
      <c r="C55" s="2" t="s">
        <v>117</v>
      </c>
    </row>
    <row r="56">
      <c r="A56" s="2">
        <v>9.781785040207E12</v>
      </c>
      <c r="B56" s="2" t="s">
        <v>118</v>
      </c>
      <c r="C56" s="2" t="s">
        <v>119</v>
      </c>
    </row>
    <row r="57">
      <c r="A57" s="2">
        <v>9.7813996095E12</v>
      </c>
      <c r="B57" s="2" t="s">
        <v>121</v>
      </c>
      <c r="C57" s="2" t="s">
        <v>122</v>
      </c>
    </row>
    <row r="58">
      <c r="A58" s="2">
        <v>9.78009951112E12</v>
      </c>
      <c r="B58" s="2" t="s">
        <v>123</v>
      </c>
      <c r="C58" s="2" t="s">
        <v>124</v>
      </c>
    </row>
    <row r="59">
      <c r="A59" s="2">
        <v>9.780349106533E12</v>
      </c>
      <c r="B59" s="2" t="s">
        <v>125</v>
      </c>
      <c r="C59" s="2" t="s">
        <v>126</v>
      </c>
    </row>
    <row r="60">
      <c r="A60" s="2">
        <v>9.780007281435E12</v>
      </c>
      <c r="B60" s="2" t="s">
        <v>127</v>
      </c>
      <c r="C60" s="2" t="s">
        <v>128</v>
      </c>
    </row>
    <row r="61">
      <c r="A61" s="2">
        <v>9.780099511151E12</v>
      </c>
      <c r="B61" s="2" t="s">
        <v>129</v>
      </c>
      <c r="C61" s="2" t="s">
        <v>130</v>
      </c>
    </row>
    <row r="62">
      <c r="A62" s="2">
        <v>9.780552159715E12</v>
      </c>
      <c r="B62" s="2" t="s">
        <v>131</v>
      </c>
      <c r="C62" s="2" t="s">
        <v>132</v>
      </c>
    </row>
    <row r="63">
      <c r="A63" s="2">
        <v>9.78009953709E12</v>
      </c>
      <c r="B63" s="2" t="s">
        <v>133</v>
      </c>
      <c r="C63" s="2" t="s">
        <v>87</v>
      </c>
    </row>
    <row r="64">
      <c r="A64" s="2">
        <v>9.780062888747E12</v>
      </c>
      <c r="B64" s="2" t="s">
        <v>134</v>
      </c>
      <c r="C64" s="2" t="s">
        <v>135</v>
      </c>
    </row>
    <row r="65">
      <c r="A65" s="2">
        <v>9.781526604743E12</v>
      </c>
      <c r="B65" s="2" t="s">
        <v>137</v>
      </c>
      <c r="C65" s="2" t="s">
        <v>52</v>
      </c>
    </row>
    <row r="66">
      <c r="A66" s="2">
        <v>9.781846046964E12</v>
      </c>
      <c r="B66" s="2" t="s">
        <v>139</v>
      </c>
      <c r="C66" s="2" t="s">
        <v>140</v>
      </c>
    </row>
    <row r="67">
      <c r="A67" s="2">
        <v>9.78006264154E12</v>
      </c>
      <c r="B67" s="2" t="s">
        <v>141</v>
      </c>
      <c r="C67" s="2" t="s">
        <v>142</v>
      </c>
    </row>
    <row r="68">
      <c r="A68" s="2">
        <v>9.781786330895E12</v>
      </c>
      <c r="B68" s="2" t="s">
        <v>143</v>
      </c>
      <c r="C68" s="2" t="s">
        <v>144</v>
      </c>
    </row>
    <row r="69">
      <c r="A69" s="2">
        <v>9.781524762407E12</v>
      </c>
      <c r="B69" s="2" t="s">
        <v>145</v>
      </c>
      <c r="C69" s="2" t="s">
        <v>146</v>
      </c>
    </row>
    <row r="70">
      <c r="A70" s="2">
        <v>9.780061339202E12</v>
      </c>
      <c r="B70" s="2" t="s">
        <v>147</v>
      </c>
      <c r="C70" s="2" t="s">
        <v>148</v>
      </c>
    </row>
    <row r="71">
      <c r="A71" s="2">
        <v>9.781035003792E12</v>
      </c>
      <c r="B71" s="2" t="s">
        <v>149</v>
      </c>
      <c r="C71" s="2" t="s">
        <v>150</v>
      </c>
    </row>
    <row r="72">
      <c r="A72" s="2">
        <v>9.780857088475E12</v>
      </c>
      <c r="B72" s="2" t="s">
        <v>152</v>
      </c>
      <c r="C72" s="2" t="s">
        <v>153</v>
      </c>
    </row>
    <row r="73">
      <c r="A73" s="2">
        <v>9.780367461409E12</v>
      </c>
      <c r="B73" s="2" t="s">
        <v>154</v>
      </c>
      <c r="C73" s="2" t="s">
        <v>155</v>
      </c>
    </row>
    <row r="74">
      <c r="A74" s="2">
        <v>9.780715654682E12</v>
      </c>
      <c r="B74" s="2" t="s">
        <v>156</v>
      </c>
      <c r="C74" s="2" t="s">
        <v>158</v>
      </c>
    </row>
    <row r="75">
      <c r="A75" s="2">
        <v>9.781603580557E12</v>
      </c>
      <c r="B75" s="2" t="s">
        <v>159</v>
      </c>
      <c r="C75" s="2" t="s">
        <v>160</v>
      </c>
    </row>
    <row r="76">
      <c r="A76" s="2">
        <v>9.780241976586E12</v>
      </c>
      <c r="B76" s="2" t="s">
        <v>161</v>
      </c>
      <c r="C76" s="2" t="s">
        <v>162</v>
      </c>
    </row>
    <row r="77">
      <c r="A77" s="2">
        <v>9.780140447804E12</v>
      </c>
      <c r="B77" s="2" t="s">
        <v>163</v>
      </c>
      <c r="C77" s="2" t="s">
        <v>164</v>
      </c>
    </row>
    <row r="78">
      <c r="A78" s="2">
        <v>9.780241484838E12</v>
      </c>
      <c r="B78" s="2" t="s">
        <v>165</v>
      </c>
      <c r="C78" s="2" t="s">
        <v>166</v>
      </c>
    </row>
    <row r="79">
      <c r="A79" s="2">
        <v>9.780330508902E12</v>
      </c>
      <c r="B79" s="2" t="s">
        <v>167</v>
      </c>
      <c r="C79" s="2" t="s">
        <v>168</v>
      </c>
    </row>
    <row r="80">
      <c r="A80" s="2">
        <v>9.780141442259E12</v>
      </c>
      <c r="B80" s="2" t="s">
        <v>169</v>
      </c>
      <c r="C80" s="2" t="s">
        <v>170</v>
      </c>
    </row>
    <row r="81">
      <c r="A81" s="2">
        <v>9.780743243155E12</v>
      </c>
      <c r="B81" s="2" t="s">
        <v>172</v>
      </c>
      <c r="C81" s="2" t="s">
        <v>173</v>
      </c>
    </row>
    <row r="82">
      <c r="A82" s="2">
        <v>9.781529060119E12</v>
      </c>
      <c r="B82" s="2" t="s">
        <v>174</v>
      </c>
      <c r="C82" s="2" t="s">
        <v>175</v>
      </c>
    </row>
    <row r="83">
      <c r="A83" s="2">
        <v>9.78152906001E12</v>
      </c>
      <c r="B83" s="2" t="s">
        <v>176</v>
      </c>
      <c r="C83" s="2" t="s">
        <v>175</v>
      </c>
    </row>
    <row r="84">
      <c r="A84" s="2">
        <v>9.781035022755E12</v>
      </c>
      <c r="B84" s="2" t="s">
        <v>177</v>
      </c>
      <c r="C84" s="2" t="s">
        <v>175</v>
      </c>
    </row>
    <row r="85">
      <c r="A85" s="2">
        <v>9.780340992852E12</v>
      </c>
      <c r="B85" s="2" t="s">
        <v>178</v>
      </c>
      <c r="C85" s="2" t="s">
        <v>179</v>
      </c>
    </row>
    <row r="86">
      <c r="A86" s="2">
        <v>9.781529342079E12</v>
      </c>
      <c r="B86" s="2" t="s">
        <v>180</v>
      </c>
      <c r="C86" s="2" t="s">
        <v>181</v>
      </c>
    </row>
    <row r="87">
      <c r="A87" s="2">
        <v>9.781784161446E12</v>
      </c>
      <c r="B87" s="2" t="s">
        <v>182</v>
      </c>
      <c r="C87" s="2" t="s">
        <v>183</v>
      </c>
    </row>
    <row r="88">
      <c r="A88" s="2">
        <v>9.780552779913E12</v>
      </c>
      <c r="B88" s="2" t="s">
        <v>184</v>
      </c>
      <c r="C88" s="2" t="s">
        <v>183</v>
      </c>
    </row>
    <row r="89">
      <c r="A89" s="2">
        <v>9.781911641827E12</v>
      </c>
      <c r="B89" s="2" t="s">
        <v>185</v>
      </c>
      <c r="C89" s="2" t="s">
        <v>186</v>
      </c>
    </row>
    <row r="90">
      <c r="A90" s="2">
        <v>9.781784872113E12</v>
      </c>
      <c r="B90" s="2" t="s">
        <v>187</v>
      </c>
      <c r="C90" s="2" t="s">
        <v>188</v>
      </c>
    </row>
    <row r="91">
      <c r="A91" s="2">
        <v>9.780007183517E12</v>
      </c>
      <c r="B91" s="2" t="s">
        <v>189</v>
      </c>
      <c r="C91" s="2" t="s">
        <v>190</v>
      </c>
    </row>
    <row r="92">
      <c r="A92" s="2">
        <v>9.781778401657E12</v>
      </c>
      <c r="B92" s="2" t="s">
        <v>191</v>
      </c>
      <c r="C92" s="2" t="s">
        <v>192</v>
      </c>
    </row>
    <row r="93">
      <c r="A93" s="2">
        <v>9.780872206274E12</v>
      </c>
      <c r="B93" s="2" t="s">
        <v>193</v>
      </c>
      <c r="C93" s="2" t="s">
        <v>194</v>
      </c>
    </row>
    <row r="94">
      <c r="A94" s="2">
        <v>9.781544512273E12</v>
      </c>
      <c r="B94" s="2" t="s">
        <v>195</v>
      </c>
      <c r="C94" s="2" t="s">
        <v>196</v>
      </c>
    </row>
    <row r="95">
      <c r="A95" s="2">
        <v>9.780674979857E12</v>
      </c>
      <c r="B95" s="2" t="s">
        <v>197</v>
      </c>
      <c r="C95" s="2" t="s">
        <v>198</v>
      </c>
    </row>
    <row r="96">
      <c r="A96" s="2">
        <v>9.78022645812E12</v>
      </c>
      <c r="B96" s="2" t="s">
        <v>199</v>
      </c>
      <c r="C96" s="2" t="s">
        <v>200</v>
      </c>
    </row>
    <row r="97">
      <c r="A97" s="2">
        <v>9.781786892737E12</v>
      </c>
      <c r="B97" s="2" t="s">
        <v>201</v>
      </c>
      <c r="C97" s="2" t="s">
        <v>202</v>
      </c>
    </row>
    <row r="98">
      <c r="A98" s="2">
        <v>9.780974320625E12</v>
      </c>
      <c r="B98" s="2" t="s">
        <v>203</v>
      </c>
      <c r="C98" s="2" t="s">
        <v>204</v>
      </c>
    </row>
    <row r="99">
      <c r="A99" s="2">
        <v>9.781401952471E12</v>
      </c>
      <c r="B99" s="2" t="s">
        <v>205</v>
      </c>
      <c r="C99" s="2" t="s">
        <v>206</v>
      </c>
    </row>
    <row r="100">
      <c r="A100" s="2">
        <v>9.781625274496E12</v>
      </c>
      <c r="B100" s="2" t="s">
        <v>207</v>
      </c>
      <c r="C100" s="2" t="s">
        <v>208</v>
      </c>
    </row>
    <row r="101">
      <c r="A101" s="2">
        <v>9.781260474183E12</v>
      </c>
      <c r="B101" s="2" t="s">
        <v>209</v>
      </c>
      <c r="C101" s="2" t="s">
        <v>210</v>
      </c>
    </row>
    <row r="102">
      <c r="A102" s="2">
        <v>9.780747585664E12</v>
      </c>
      <c r="B102" s="2" t="s">
        <v>211</v>
      </c>
      <c r="C102" s="2" t="s">
        <v>212</v>
      </c>
    </row>
    <row r="103">
      <c r="A103" s="2">
        <v>9.781782112464E12</v>
      </c>
      <c r="B103" s="2" t="s">
        <v>213</v>
      </c>
      <c r="C103" s="2" t="s">
        <v>214</v>
      </c>
    </row>
    <row r="104">
      <c r="A104" s="2">
        <v>9.781917349055E12</v>
      </c>
      <c r="B104" s="2" t="s">
        <v>215</v>
      </c>
      <c r="C104" s="2" t="s">
        <v>216</v>
      </c>
    </row>
    <row r="105">
      <c r="A105" s="2">
        <v>9.781915396631E12</v>
      </c>
      <c r="B105" s="2" t="s">
        <v>217</v>
      </c>
      <c r="C105" s="2" t="s">
        <v>130</v>
      </c>
    </row>
    <row r="106">
      <c r="A106" s="2">
        <v>9.78187842431E12</v>
      </c>
      <c r="B106" s="2" t="s">
        <v>218</v>
      </c>
      <c r="C106" s="2" t="s">
        <v>219</v>
      </c>
    </row>
    <row r="107">
      <c r="A107" s="2">
        <v>9.781838959548E12</v>
      </c>
      <c r="B107" s="2" t="s">
        <v>220</v>
      </c>
      <c r="C107" s="2" t="s">
        <v>221</v>
      </c>
    </row>
    <row r="108">
      <c r="A108" s="2">
        <v>9.781917349017E12</v>
      </c>
      <c r="B108" s="2" t="s">
        <v>222</v>
      </c>
      <c r="C108" s="2" t="s">
        <v>223</v>
      </c>
    </row>
    <row r="109">
      <c r="A109" s="2">
        <v>9.781408830956E12</v>
      </c>
      <c r="B109" s="2" t="s">
        <v>224</v>
      </c>
      <c r="C109" s="2" t="s">
        <v>225</v>
      </c>
    </row>
    <row r="110">
      <c r="A110" s="2">
        <v>9.784805314647E12</v>
      </c>
      <c r="B110" s="2" t="s">
        <v>226</v>
      </c>
      <c r="C110" s="2" t="s">
        <v>227</v>
      </c>
    </row>
    <row r="111">
      <c r="A111" s="2">
        <v>9.780747578888E12</v>
      </c>
      <c r="B111" s="2" t="s">
        <v>228</v>
      </c>
      <c r="C111" s="2" t="s">
        <v>229</v>
      </c>
    </row>
    <row r="112">
      <c r="A112" s="2">
        <v>9.780099532811E12</v>
      </c>
      <c r="B112" s="2" t="s">
        <v>230</v>
      </c>
      <c r="C112" s="2" t="s">
        <v>231</v>
      </c>
    </row>
    <row r="113">
      <c r="A113" s="2">
        <v>9.780571340675E12</v>
      </c>
      <c r="B113" s="2" t="s">
        <v>232</v>
      </c>
      <c r="C113" s="2" t="s">
        <v>233</v>
      </c>
    </row>
    <row r="114">
      <c r="A114" s="2">
        <v>9.781848313477E12</v>
      </c>
      <c r="B114" s="2" t="s">
        <v>234</v>
      </c>
      <c r="C114" s="2" t="s">
        <v>235</v>
      </c>
    </row>
    <row r="115">
      <c r="A115" s="2">
        <v>9.780571229116E12</v>
      </c>
      <c r="B115" s="2" t="s">
        <v>236</v>
      </c>
      <c r="C115" s="2" t="s">
        <v>237</v>
      </c>
    </row>
    <row r="116">
      <c r="A116" s="2">
        <v>9.780141036144E12</v>
      </c>
      <c r="B116" s="2" t="s">
        <v>238</v>
      </c>
      <c r="C116" s="2" t="s">
        <v>239</v>
      </c>
    </row>
    <row r="117">
      <c r="A117" s="2">
        <v>9.780141190273E12</v>
      </c>
      <c r="B117" s="2" t="s">
        <v>240</v>
      </c>
      <c r="C117" s="2" t="s">
        <v>241</v>
      </c>
    </row>
    <row r="118">
      <c r="A118" s="2">
        <v>9.781035006779E12</v>
      </c>
      <c r="B118" s="2" t="s">
        <v>242</v>
      </c>
      <c r="C118" s="2" t="s">
        <v>243</v>
      </c>
    </row>
    <row r="119">
      <c r="A119" s="2">
        <v>9.780743258074E12</v>
      </c>
      <c r="B119" s="2" t="s">
        <v>244</v>
      </c>
      <c r="C119" s="2" t="s">
        <v>101</v>
      </c>
    </row>
    <row r="120">
      <c r="A120" s="2">
        <v>9.780140449235E12</v>
      </c>
      <c r="B120" s="2" t="s">
        <v>245</v>
      </c>
      <c r="C120" s="2" t="s">
        <v>246</v>
      </c>
    </row>
    <row r="121">
      <c r="A121" s="2">
        <v>9.780141981253E12</v>
      </c>
      <c r="B121" s="2" t="s">
        <v>247</v>
      </c>
      <c r="C121" s="2" t="s">
        <v>248</v>
      </c>
    </row>
    <row r="122">
      <c r="A122" s="2">
        <v>9.780743260879E12</v>
      </c>
      <c r="B122" s="2" t="s">
        <v>249</v>
      </c>
      <c r="C122" s="2" t="s">
        <v>250</v>
      </c>
    </row>
    <row r="123">
      <c r="A123" s="2">
        <v>9.781473217409E12</v>
      </c>
      <c r="B123" s="2" t="s">
        <v>251</v>
      </c>
      <c r="C123" s="2" t="s">
        <v>99</v>
      </c>
    </row>
    <row r="124">
      <c r="A124" s="2">
        <v>9.781471167942E12</v>
      </c>
      <c r="B124" s="2" t="s">
        <v>252</v>
      </c>
      <c r="C124" s="2" t="s">
        <v>101</v>
      </c>
    </row>
    <row r="125">
      <c r="A125" s="2">
        <v>9.781250183866E12</v>
      </c>
      <c r="B125" s="2" t="s">
        <v>253</v>
      </c>
      <c r="C125" s="2" t="s">
        <v>254</v>
      </c>
    </row>
    <row r="126">
      <c r="A126" s="2">
        <v>9.780141019017E12</v>
      </c>
      <c r="B126" s="2" t="s">
        <v>255</v>
      </c>
      <c r="C126" s="2" t="s">
        <v>256</v>
      </c>
    </row>
    <row r="127">
      <c r="A127" s="2">
        <v>9.780141980782E12</v>
      </c>
      <c r="B127" s="2" t="s">
        <v>257</v>
      </c>
      <c r="C127" s="2" t="s">
        <v>258</v>
      </c>
    </row>
    <row r="128">
      <c r="A128" s="2">
        <v>9.780141182575E12</v>
      </c>
      <c r="B128" s="2" t="s">
        <v>259</v>
      </c>
      <c r="C128" s="2" t="s">
        <v>260</v>
      </c>
    </row>
    <row r="129">
      <c r="A129" s="2">
        <v>9.780241300725E12</v>
      </c>
      <c r="B129" s="2" t="s">
        <v>261</v>
      </c>
      <c r="C129" s="2" t="s">
        <v>262</v>
      </c>
    </row>
    <row r="130">
      <c r="A130" s="2">
        <v>9.781471166785E12</v>
      </c>
      <c r="B130" s="2" t="s">
        <v>263</v>
      </c>
      <c r="C130" s="2" t="s">
        <v>101</v>
      </c>
    </row>
    <row r="131">
      <c r="A131" s="2">
        <v>9.780241248744E12</v>
      </c>
      <c r="B131" s="2" t="s">
        <v>264</v>
      </c>
      <c r="C131" s="2" t="s">
        <v>265</v>
      </c>
    </row>
    <row r="132">
      <c r="A132" s="2">
        <v>9.780141396316E12</v>
      </c>
      <c r="B132" s="2" t="s">
        <v>266</v>
      </c>
      <c r="C132" s="2" t="s">
        <v>267</v>
      </c>
    </row>
    <row r="133">
      <c r="A133" s="2">
        <v>9.780718188863E12</v>
      </c>
      <c r="B133" s="2" t="s">
        <v>268</v>
      </c>
      <c r="C133" s="2" t="s">
        <v>269</v>
      </c>
    </row>
    <row r="134">
      <c r="A134" s="2">
        <v>9.780241951224E12</v>
      </c>
      <c r="B134" s="2" t="s">
        <v>270</v>
      </c>
      <c r="C134" s="2" t="s">
        <v>271</v>
      </c>
    </row>
    <row r="135">
      <c r="A135" s="2">
        <v>9.780141185101E12</v>
      </c>
      <c r="B135" s="2" t="s">
        <v>272</v>
      </c>
      <c r="C135" s="2" t="s">
        <v>273</v>
      </c>
    </row>
    <row r="136">
      <c r="A136" s="2">
        <v>9.780141396514E12</v>
      </c>
      <c r="B136" s="2" t="s">
        <v>274</v>
      </c>
      <c r="C136" s="2" t="s">
        <v>267</v>
      </c>
    </row>
    <row r="137">
      <c r="A137" s="2">
        <v>9.780141043029E12</v>
      </c>
      <c r="B137" s="2" t="s">
        <v>275</v>
      </c>
      <c r="C137" s="2" t="s">
        <v>276</v>
      </c>
    </row>
    <row r="138">
      <c r="A138" s="2">
        <v>9.781422187395E12</v>
      </c>
      <c r="B138" s="2" t="s">
        <v>277</v>
      </c>
      <c r="C138" s="2" t="s">
        <v>278</v>
      </c>
    </row>
    <row r="139">
      <c r="A139" s="2">
        <v>9.780141029191E12</v>
      </c>
      <c r="B139" s="2" t="s">
        <v>279</v>
      </c>
      <c r="C139" s="2" t="s">
        <v>280</v>
      </c>
    </row>
    <row r="140">
      <c r="A140" s="2">
        <v>9.780141983219E12</v>
      </c>
      <c r="B140" s="2" t="s">
        <v>281</v>
      </c>
      <c r="C140" s="2" t="s">
        <v>71</v>
      </c>
    </row>
    <row r="141">
      <c r="A141" s="2">
        <v>9.781444758993E12</v>
      </c>
      <c r="B141" s="2" t="s">
        <v>282</v>
      </c>
      <c r="C141" s="2" t="s">
        <v>283</v>
      </c>
    </row>
    <row r="142">
      <c r="A142" s="2">
        <v>9.78144726897E12</v>
      </c>
      <c r="B142" s="2" t="s">
        <v>284</v>
      </c>
      <c r="C142" s="2" t="s">
        <v>285</v>
      </c>
    </row>
    <row r="143">
      <c r="A143" s="2">
        <v>9.780140443486E12</v>
      </c>
      <c r="B143" s="2" t="s">
        <v>286</v>
      </c>
      <c r="C143" s="2" t="s">
        <v>287</v>
      </c>
    </row>
    <row r="144">
      <c r="A144" s="2">
        <v>9.780393337174E12</v>
      </c>
      <c r="B144" s="2" t="s">
        <v>288</v>
      </c>
      <c r="C144" s="2" t="s">
        <v>289</v>
      </c>
    </row>
    <row r="145">
      <c r="A145" s="2">
        <v>9.780141990262E12</v>
      </c>
      <c r="B145" s="2" t="s">
        <v>290</v>
      </c>
      <c r="C145" s="2" t="s">
        <v>291</v>
      </c>
    </row>
    <row r="146">
      <c r="A146" s="2">
        <v>9.780241956281E12</v>
      </c>
      <c r="B146" s="2" t="s">
        <v>292</v>
      </c>
      <c r="C146" s="2" t="s">
        <v>293</v>
      </c>
    </row>
    <row r="147">
      <c r="A147" s="2">
        <v>9.780099537861E12</v>
      </c>
      <c r="B147" s="2" t="s">
        <v>294</v>
      </c>
      <c r="C147" s="2" t="s">
        <v>295</v>
      </c>
    </row>
    <row r="148">
      <c r="A148" s="2">
        <v>9.780141038872E12</v>
      </c>
      <c r="B148" s="2" t="s">
        <v>296</v>
      </c>
      <c r="C148" s="2" t="s">
        <v>297</v>
      </c>
    </row>
    <row r="149">
      <c r="A149" s="2">
        <v>9.780241950425E12</v>
      </c>
      <c r="B149" s="2" t="s">
        <v>298</v>
      </c>
      <c r="C149" s="2" t="s">
        <v>299</v>
      </c>
    </row>
    <row r="150">
      <c r="A150" s="2">
        <v>9.781982115869E12</v>
      </c>
      <c r="B150" s="2" t="s">
        <v>300</v>
      </c>
      <c r="C150" s="2" t="s">
        <v>101</v>
      </c>
    </row>
    <row r="151">
      <c r="A151" s="2">
        <v>9.780141182551E12</v>
      </c>
      <c r="B151" s="2" t="s">
        <v>301</v>
      </c>
      <c r="C151" s="2" t="s">
        <v>302</v>
      </c>
    </row>
    <row r="152">
      <c r="A152" s="2">
        <v>9.781786580375E12</v>
      </c>
      <c r="B152" s="2" t="s">
        <v>303</v>
      </c>
      <c r="C152" s="2" t="s">
        <v>304</v>
      </c>
    </row>
    <row r="153">
      <c r="A153" s="2">
        <v>9.780141182636E12</v>
      </c>
      <c r="B153" s="2" t="s">
        <v>305</v>
      </c>
      <c r="C153" s="2" t="s">
        <v>306</v>
      </c>
    </row>
    <row r="154">
      <c r="A154" s="2">
        <v>9.780099740919E12</v>
      </c>
      <c r="B154" s="2" t="s">
        <v>307</v>
      </c>
      <c r="C154" s="2" t="s">
        <v>308</v>
      </c>
    </row>
    <row r="155">
      <c r="A155" s="2">
        <v>9.781407132082E12</v>
      </c>
      <c r="B155" s="2" t="s">
        <v>309</v>
      </c>
      <c r="C155" s="2" t="s">
        <v>310</v>
      </c>
    </row>
    <row r="156">
      <c r="A156" s="2">
        <v>9.781647826765E12</v>
      </c>
      <c r="B156" s="2" t="s">
        <v>311</v>
      </c>
      <c r="C156" s="2" t="s">
        <v>312</v>
      </c>
    </row>
    <row r="157">
      <c r="A157" s="2">
        <v>9.781447277538E12</v>
      </c>
      <c r="B157" s="2" t="s">
        <v>313</v>
      </c>
      <c r="C157" s="2" t="s">
        <v>314</v>
      </c>
    </row>
    <row r="158">
      <c r="A158" s="2">
        <v>9.781529077292E12</v>
      </c>
      <c r="B158" s="2" t="s">
        <v>315</v>
      </c>
      <c r="C158" s="2" t="s">
        <v>168</v>
      </c>
    </row>
    <row r="159">
      <c r="A159" s="2">
        <v>9.7819094894E12</v>
      </c>
      <c r="B159" s="2" t="s">
        <v>316</v>
      </c>
      <c r="C159" s="2" t="s">
        <v>317</v>
      </c>
    </row>
    <row r="160">
      <c r="A160" s="2">
        <v>9.780198814399E12</v>
      </c>
      <c r="B160" s="2" t="s">
        <v>318</v>
      </c>
      <c r="C160" s="2" t="s">
        <v>319</v>
      </c>
    </row>
    <row r="161">
      <c r="A161" s="2">
        <v>9.780393355574E12</v>
      </c>
      <c r="B161" s="2" t="s">
        <v>320</v>
      </c>
      <c r="C161" s="2" t="s">
        <v>321</v>
      </c>
    </row>
    <row r="162">
      <c r="A162" s="2">
        <v>9.781509848621E12</v>
      </c>
      <c r="B162" s="2" t="s">
        <v>322</v>
      </c>
      <c r="C162" s="2" t="s">
        <v>323</v>
      </c>
    </row>
    <row r="163">
      <c r="A163" s="2">
        <v>9.780349116754E12</v>
      </c>
      <c r="B163" s="2" t="s">
        <v>324</v>
      </c>
      <c r="C163" s="2" t="s">
        <v>325</v>
      </c>
    </row>
    <row r="164">
      <c r="A164" s="2">
        <v>9.78152933546E12</v>
      </c>
      <c r="B164" s="2" t="s">
        <v>326</v>
      </c>
      <c r="C164" s="2" t="s">
        <v>327</v>
      </c>
    </row>
    <row r="165">
      <c r="A165" s="2">
        <v>9.780241961001E12</v>
      </c>
      <c r="B165" s="2" t="s">
        <v>328</v>
      </c>
      <c r="C165" s="2" t="s">
        <v>99</v>
      </c>
    </row>
    <row r="166">
      <c r="A166" s="2">
        <v>9.780241656846E12</v>
      </c>
      <c r="B166" s="2" t="s">
        <v>329</v>
      </c>
      <c r="C166" s="2" t="s">
        <v>330</v>
      </c>
    </row>
    <row r="167">
      <c r="A167" s="2">
        <v>9.780752864365E12</v>
      </c>
      <c r="B167" s="2" t="s">
        <v>331</v>
      </c>
      <c r="C167" s="2" t="s">
        <v>332</v>
      </c>
    </row>
    <row r="168">
      <c r="A168" s="2">
        <v>9.781847946249E12</v>
      </c>
      <c r="B168" s="2" t="s">
        <v>333</v>
      </c>
      <c r="C168" s="2" t="s">
        <v>334</v>
      </c>
    </row>
    <row r="169">
      <c r="A169" s="2">
        <v>9.78019285423E12</v>
      </c>
      <c r="B169" s="2" t="s">
        <v>335</v>
      </c>
      <c r="C169" s="2" t="s">
        <v>336</v>
      </c>
    </row>
    <row r="170">
      <c r="A170" s="2">
        <v>9.780141442433E12</v>
      </c>
      <c r="B170" s="2" t="s">
        <v>337</v>
      </c>
      <c r="C170" s="2" t="s">
        <v>338</v>
      </c>
    </row>
    <row r="171">
      <c r="A171" s="2">
        <v>9.780199538966E12</v>
      </c>
      <c r="B171" s="2" t="s">
        <v>339</v>
      </c>
      <c r="C171" s="2" t="s">
        <v>340</v>
      </c>
    </row>
    <row r="172">
      <c r="A172" s="2">
        <v>9.78178576367E12</v>
      </c>
      <c r="B172" s="2" t="s">
        <v>341</v>
      </c>
      <c r="C172" s="2" t="s">
        <v>342</v>
      </c>
    </row>
    <row r="173">
      <c r="A173" s="2">
        <v>9.78014198887E12</v>
      </c>
      <c r="B173" s="2" t="s">
        <v>343</v>
      </c>
      <c r="C173" s="2" t="s">
        <v>344</v>
      </c>
    </row>
    <row r="174">
      <c r="A174" s="2">
        <v>9.780007354788E12</v>
      </c>
      <c r="B174" s="2" t="s">
        <v>345</v>
      </c>
      <c r="C174" s="2" t="s">
        <v>346</v>
      </c>
    </row>
    <row r="175">
      <c r="A175" s="2">
        <v>9.780199535927E12</v>
      </c>
      <c r="B175" s="2" t="s">
        <v>347</v>
      </c>
      <c r="C175" s="2" t="s">
        <v>348</v>
      </c>
    </row>
    <row r="176">
      <c r="A176" s="2">
        <v>9.780008234188E12</v>
      </c>
      <c r="B176" s="2" t="s">
        <v>349</v>
      </c>
      <c r="C176" s="2" t="s">
        <v>350</v>
      </c>
    </row>
    <row r="177">
      <c r="A177" s="2">
        <v>9.781471150388E12</v>
      </c>
      <c r="B177" s="2" t="s">
        <v>351</v>
      </c>
      <c r="C177" s="2" t="s">
        <v>352</v>
      </c>
    </row>
    <row r="178">
      <c r="A178" s="2">
        <v>9.780241986844E12</v>
      </c>
      <c r="B178" s="2" t="s">
        <v>353</v>
      </c>
      <c r="C178" s="2" t="s">
        <v>354</v>
      </c>
    </row>
    <row r="179">
      <c r="A179" s="2">
        <v>9.780241956182E12</v>
      </c>
      <c r="B179" s="2" t="s">
        <v>355</v>
      </c>
      <c r="C179" s="2" t="s">
        <v>356</v>
      </c>
    </row>
    <row r="180">
      <c r="A180" s="2">
        <v>9.780141027586E12</v>
      </c>
      <c r="B180" s="2" t="s">
        <v>357</v>
      </c>
      <c r="C180" s="2" t="s">
        <v>358</v>
      </c>
    </row>
    <row r="181">
      <c r="A181" s="2">
        <v>9.780553824483E12</v>
      </c>
      <c r="B181" s="2" t="s">
        <v>359</v>
      </c>
      <c r="C181" s="2" t="s">
        <v>360</v>
      </c>
    </row>
    <row r="182">
      <c r="A182" s="2">
        <v>9.780393355628E12</v>
      </c>
      <c r="B182" s="2" t="s">
        <v>361</v>
      </c>
      <c r="C182" s="2" t="s">
        <v>362</v>
      </c>
    </row>
    <row r="183">
      <c r="A183" s="2">
        <v>9.780743270755E12</v>
      </c>
      <c r="B183" s="2" t="s">
        <v>363</v>
      </c>
      <c r="C183" s="2" t="s">
        <v>262</v>
      </c>
    </row>
    <row r="184">
      <c r="A184" s="2">
        <v>9.781471166969E12</v>
      </c>
      <c r="B184" s="2" t="s">
        <v>364</v>
      </c>
      <c r="C184" s="2" t="s">
        <v>365</v>
      </c>
    </row>
    <row r="185">
      <c r="A185" s="2">
        <v>9.781529060096E12</v>
      </c>
      <c r="B185" s="2" t="s">
        <v>366</v>
      </c>
      <c r="C185" s="2" t="s">
        <v>175</v>
      </c>
    </row>
    <row r="186">
      <c r="A186" s="2">
        <v>9.781473684478E12</v>
      </c>
      <c r="B186" s="2" t="s">
        <v>367</v>
      </c>
      <c r="C186" s="2" t="s">
        <v>87</v>
      </c>
    </row>
    <row r="187">
      <c r="A187" s="2">
        <v>9.780316334464E12</v>
      </c>
      <c r="B187" s="2" t="s">
        <v>368</v>
      </c>
      <c r="C187" s="2" t="s">
        <v>369</v>
      </c>
    </row>
    <row r="188">
      <c r="A188" s="2">
        <v>9.780425106877E12</v>
      </c>
      <c r="B188" s="2" t="s">
        <v>370</v>
      </c>
      <c r="C188" s="2" t="s">
        <v>369</v>
      </c>
    </row>
    <row r="189">
      <c r="A189" s="2">
        <v>9.780751547733E12</v>
      </c>
      <c r="B189" s="2" t="s">
        <v>371</v>
      </c>
      <c r="C189" s="2" t="s">
        <v>372</v>
      </c>
    </row>
    <row r="190">
      <c r="A190" s="2">
        <v>9.780141439563E12</v>
      </c>
      <c r="B190" s="2" t="s">
        <v>373</v>
      </c>
      <c r="C190" s="2" t="s">
        <v>60</v>
      </c>
    </row>
    <row r="191">
      <c r="A191" s="2">
        <v>9.780142437247E12</v>
      </c>
      <c r="B191" s="2" t="s">
        <v>374</v>
      </c>
      <c r="C191" s="2" t="s">
        <v>375</v>
      </c>
    </row>
    <row r="192">
      <c r="A192" s="2">
        <v>9.780199232765E12</v>
      </c>
      <c r="B192" s="2" t="s">
        <v>376</v>
      </c>
      <c r="C192" s="2" t="s">
        <v>377</v>
      </c>
    </row>
    <row r="193">
      <c r="A193" s="2">
        <v>9.780241597361E12</v>
      </c>
      <c r="B193" s="2" t="s">
        <v>378</v>
      </c>
      <c r="C193" s="2" t="s">
        <v>379</v>
      </c>
    </row>
    <row r="194">
      <c r="A194" s="2">
        <v>9.780571268832E12</v>
      </c>
      <c r="B194" s="2" t="s">
        <v>380</v>
      </c>
      <c r="C194" s="2" t="s">
        <v>381</v>
      </c>
    </row>
    <row r="195">
      <c r="A195" s="2">
        <v>9.780571218318E12</v>
      </c>
      <c r="B195" s="2" t="s">
        <v>382</v>
      </c>
      <c r="C195" s="2" t="s">
        <v>381</v>
      </c>
    </row>
    <row r="196">
      <c r="A196" s="2">
        <v>9.780571237029E12</v>
      </c>
      <c r="B196" s="2" t="s">
        <v>383</v>
      </c>
      <c r="C196" s="2" t="s">
        <v>381</v>
      </c>
    </row>
    <row r="197">
      <c r="A197" s="2">
        <v>9.780241972908E12</v>
      </c>
      <c r="B197" s="2" t="s">
        <v>384</v>
      </c>
      <c r="C197" s="2" t="s">
        <v>385</v>
      </c>
    </row>
    <row r="198">
      <c r="A198" s="2">
        <v>9.780241979464E12</v>
      </c>
      <c r="B198" s="2" t="s">
        <v>386</v>
      </c>
      <c r="C198" s="2" t="s">
        <v>385</v>
      </c>
    </row>
    <row r="199">
      <c r="A199" s="2">
        <v>9.780241972939E12</v>
      </c>
      <c r="B199" s="2" t="s">
        <v>387</v>
      </c>
      <c r="C199" s="2" t="s">
        <v>385</v>
      </c>
    </row>
    <row r="200">
      <c r="A200" s="2">
        <v>9.781786891709E12</v>
      </c>
      <c r="B200" s="2" t="s">
        <v>388</v>
      </c>
      <c r="C200" s="2" t="s">
        <v>389</v>
      </c>
    </row>
    <row r="201">
      <c r="A201" s="2">
        <v>9.780241257401E12</v>
      </c>
      <c r="B201" s="2" t="s">
        <v>390</v>
      </c>
      <c r="C201" s="2" t="s">
        <v>391</v>
      </c>
    </row>
    <row r="202">
      <c r="A202" s="2">
        <v>9.781472139955E12</v>
      </c>
      <c r="B202" s="2" t="s">
        <v>392</v>
      </c>
      <c r="C202" s="2" t="s">
        <v>393</v>
      </c>
    </row>
    <row r="203">
      <c r="A203" s="2">
        <v>9.781476763491E12</v>
      </c>
      <c r="B203" s="2" t="s">
        <v>394</v>
      </c>
      <c r="C203" s="2" t="s">
        <v>395</v>
      </c>
    </row>
    <row r="204">
      <c r="A204" s="2">
        <v>9.780465026562E12</v>
      </c>
      <c r="B204" s="2" t="s">
        <v>396</v>
      </c>
      <c r="C204" s="2" t="s">
        <v>397</v>
      </c>
    </row>
    <row r="205">
      <c r="A205" s="2">
        <v>9.781786071033E12</v>
      </c>
      <c r="B205" s="2" t="s">
        <v>398</v>
      </c>
      <c r="C205" s="2" t="s">
        <v>399</v>
      </c>
    </row>
    <row r="206">
      <c r="A206" s="2">
        <v>9.780141044248E12</v>
      </c>
      <c r="B206" s="2" t="s">
        <v>400</v>
      </c>
      <c r="C206" s="2" t="s">
        <v>401</v>
      </c>
    </row>
    <row r="207">
      <c r="A207" s="2">
        <v>9.780008172039E12</v>
      </c>
      <c r="B207" s="2" t="s">
        <v>402</v>
      </c>
      <c r="C207" s="2" t="s">
        <v>403</v>
      </c>
    </row>
    <row r="208">
      <c r="A208" s="2">
        <v>9.780586091715E12</v>
      </c>
      <c r="B208" s="2" t="s">
        <v>404</v>
      </c>
      <c r="C208" s="2" t="s">
        <v>405</v>
      </c>
    </row>
    <row r="209">
      <c r="A209" s="2">
        <v>9.780140128673E12</v>
      </c>
      <c r="B209" s="2" t="s">
        <v>406</v>
      </c>
      <c r="C209" s="2" t="s">
        <v>407</v>
      </c>
    </row>
    <row r="210">
      <c r="A210" s="2">
        <v>9.780141991955E12</v>
      </c>
      <c r="B210" s="2" t="s">
        <v>408</v>
      </c>
      <c r="C210" s="2" t="s">
        <v>409</v>
      </c>
    </row>
    <row r="211">
      <c r="A211" s="2">
        <v>9.780198784883E12</v>
      </c>
      <c r="B211" s="2" t="s">
        <v>410</v>
      </c>
      <c r="C211" s="2" t="s">
        <v>411</v>
      </c>
    </row>
    <row r="212">
      <c r="A212" s="2">
        <v>9.780393312768E12</v>
      </c>
      <c r="B212" s="2" t="s">
        <v>412</v>
      </c>
      <c r="C212" s="2" t="s">
        <v>413</v>
      </c>
    </row>
    <row r="213">
      <c r="A213" s="2">
        <v>9.780008543211E12</v>
      </c>
      <c r="B213" s="2" t="s">
        <v>414</v>
      </c>
      <c r="C213" s="2" t="s">
        <v>10</v>
      </c>
    </row>
    <row r="214">
      <c r="A214" s="2">
        <v>9.781781808313E12</v>
      </c>
      <c r="B214" s="2" t="s">
        <v>415</v>
      </c>
      <c r="C214" s="2" t="s">
        <v>416</v>
      </c>
    </row>
    <row r="215">
      <c r="A215" s="2">
        <v>9.781594771811E12</v>
      </c>
      <c r="B215" s="2" t="s">
        <v>417</v>
      </c>
      <c r="C215" s="2" t="s">
        <v>418</v>
      </c>
    </row>
    <row r="216">
      <c r="A216" s="2">
        <v>9.781848508569E12</v>
      </c>
      <c r="B216" s="2" t="s">
        <v>419</v>
      </c>
      <c r="C216" s="2" t="s">
        <v>416</v>
      </c>
    </row>
    <row r="217">
      <c r="A217" s="2">
        <v>9.780261103344E12</v>
      </c>
      <c r="B217" s="2" t="s">
        <v>420</v>
      </c>
      <c r="C217" s="2" t="s">
        <v>421</v>
      </c>
    </row>
    <row r="218">
      <c r="A218" s="2">
        <v>9.780747266839E12</v>
      </c>
      <c r="B218" s="2" t="s">
        <v>422</v>
      </c>
      <c r="C218" s="2" t="s">
        <v>423</v>
      </c>
    </row>
    <row r="219">
      <c r="A219" s="2">
        <v>9.78000654489E12</v>
      </c>
      <c r="B219" s="2" t="s">
        <v>424</v>
      </c>
      <c r="C219" s="2" t="s">
        <v>425</v>
      </c>
    </row>
    <row r="220">
      <c r="A220" s="2">
        <v>9.780751569575E12</v>
      </c>
      <c r="B220" s="2" t="s">
        <v>426</v>
      </c>
      <c r="C220" s="2" t="s">
        <v>427</v>
      </c>
    </row>
    <row r="221">
      <c r="A221" s="2">
        <v>9.781612680507E12</v>
      </c>
      <c r="B221" s="2" t="s">
        <v>428</v>
      </c>
      <c r="C221" s="2" t="s">
        <v>429</v>
      </c>
    </row>
    <row r="222">
      <c r="A222" s="2">
        <v>9.780937611012E12</v>
      </c>
      <c r="B222" s="2" t="s">
        <v>430</v>
      </c>
      <c r="C222" s="2" t="s">
        <v>431</v>
      </c>
    </row>
    <row r="223">
      <c r="A223" s="2">
        <v>9.781847376466E12</v>
      </c>
      <c r="B223" s="2" t="s">
        <v>432</v>
      </c>
      <c r="C223" s="2" t="s">
        <v>433</v>
      </c>
    </row>
    <row r="224">
      <c r="A224" s="2">
        <v>9.781444775815E12</v>
      </c>
      <c r="B224" s="2" t="s">
        <v>434</v>
      </c>
      <c r="C224" s="2" t="s">
        <v>435</v>
      </c>
    </row>
    <row r="225">
      <c r="A225" s="2">
        <v>9.781473223677E12</v>
      </c>
      <c r="B225" s="2" t="s">
        <v>436</v>
      </c>
      <c r="C225" s="2" t="s">
        <v>437</v>
      </c>
    </row>
    <row r="226">
      <c r="A226" s="2">
        <v>9.781473635302E12</v>
      </c>
      <c r="B226" s="2" t="s">
        <v>438</v>
      </c>
      <c r="C226" s="2" t="s">
        <v>439</v>
      </c>
    </row>
    <row r="227">
      <c r="A227" s="2">
        <v>9.781473695993E12</v>
      </c>
      <c r="B227" s="2" t="s">
        <v>440</v>
      </c>
      <c r="C227" s="2" t="s">
        <v>28</v>
      </c>
    </row>
    <row r="228">
      <c r="A228" s="2">
        <v>9.780575094185E12</v>
      </c>
      <c r="B228" s="2" t="s">
        <v>441</v>
      </c>
      <c r="C228" s="2" t="s">
        <v>442</v>
      </c>
    </row>
    <row r="229">
      <c r="A229" s="2">
        <v>9.781399608992E12</v>
      </c>
      <c r="B229" s="2" t="s">
        <v>443</v>
      </c>
      <c r="C229" s="2" t="s">
        <v>444</v>
      </c>
    </row>
    <row r="230">
      <c r="A230" s="2">
        <v>9.780552169585E12</v>
      </c>
      <c r="B230" s="2" t="s">
        <v>445</v>
      </c>
      <c r="C230" s="2" t="s">
        <v>132</v>
      </c>
    </row>
    <row r="231">
      <c r="A231" s="2">
        <v>9.781529386691E12</v>
      </c>
      <c r="B231" s="2" t="s">
        <v>446</v>
      </c>
      <c r="C231" s="2" t="s">
        <v>447</v>
      </c>
    </row>
    <row r="232">
      <c r="A232" s="2">
        <v>9.780755349302E12</v>
      </c>
      <c r="B232" s="2" t="s">
        <v>448</v>
      </c>
      <c r="C232" s="2" t="s">
        <v>449</v>
      </c>
    </row>
    <row r="233">
      <c r="A233" s="2">
        <v>9.781444759563E12</v>
      </c>
      <c r="B233" s="2" t="s">
        <v>450</v>
      </c>
      <c r="C233" s="2" t="s">
        <v>451</v>
      </c>
    </row>
    <row r="234">
      <c r="A234" s="2">
        <v>9.78140916786E12</v>
      </c>
      <c r="B234" s="2" t="s">
        <v>452</v>
      </c>
      <c r="C234" s="2" t="s">
        <v>453</v>
      </c>
    </row>
    <row r="235">
      <c r="A235" s="2">
        <v>9.781409189602E12</v>
      </c>
      <c r="B235" s="2" t="s">
        <v>454</v>
      </c>
      <c r="C235" s="2" t="s">
        <v>455</v>
      </c>
    </row>
    <row r="236">
      <c r="A236" s="2">
        <v>9.781473228412E12</v>
      </c>
      <c r="B236" s="2" t="s">
        <v>456</v>
      </c>
      <c r="C236" s="2" t="s">
        <v>457</v>
      </c>
    </row>
    <row r="237">
      <c r="A237" s="2">
        <v>9.780552779777E12</v>
      </c>
      <c r="B237" s="2" t="s">
        <v>458</v>
      </c>
      <c r="C237" s="2" t="s">
        <v>459</v>
      </c>
    </row>
    <row r="238">
      <c r="A238" s="2">
        <v>9.781529432404E12</v>
      </c>
      <c r="B238" s="2" t="s">
        <v>460</v>
      </c>
      <c r="C238" s="2" t="s">
        <v>103</v>
      </c>
    </row>
    <row r="239">
      <c r="A239" s="2">
        <v>9.78184408182E12</v>
      </c>
      <c r="B239" s="2" t="s">
        <v>461</v>
      </c>
      <c r="C239" s="2" t="s">
        <v>462</v>
      </c>
    </row>
    <row r="240">
      <c r="A240" s="2">
        <v>9.781845296445E12</v>
      </c>
      <c r="B240" s="2" t="s">
        <v>463</v>
      </c>
      <c r="C240" s="2" t="s">
        <v>464</v>
      </c>
    </row>
    <row r="241">
      <c r="A241" s="2">
        <v>9.781472155368E12</v>
      </c>
      <c r="B241" s="2" t="s">
        <v>465</v>
      </c>
      <c r="C241" s="2" t="s">
        <v>466</v>
      </c>
    </row>
    <row r="242">
      <c r="A242" s="2">
        <v>9.781409157403E12</v>
      </c>
      <c r="B242" s="2" t="s">
        <v>467</v>
      </c>
      <c r="C242" s="2" t="s">
        <v>468</v>
      </c>
    </row>
    <row r="243">
      <c r="A243" s="2">
        <v>9.781474609883E12</v>
      </c>
      <c r="B243" s="2" t="s">
        <v>469</v>
      </c>
      <c r="C243" s="2" t="s">
        <v>470</v>
      </c>
    </row>
    <row r="244">
      <c r="A244" s="2">
        <v>9.781780720371E12</v>
      </c>
      <c r="B244" s="2" t="s">
        <v>471</v>
      </c>
      <c r="C244" s="2" t="s">
        <v>472</v>
      </c>
    </row>
    <row r="245">
      <c r="A245" s="2">
        <v>9.780575094192E12</v>
      </c>
      <c r="B245" s="2" t="s">
        <v>473</v>
      </c>
      <c r="C245" s="2" t="s">
        <v>474</v>
      </c>
    </row>
    <row r="246">
      <c r="A246" s="2">
        <v>9.780316679077E12</v>
      </c>
      <c r="B246" s="2" t="s">
        <v>475</v>
      </c>
      <c r="C246" s="2" t="s">
        <v>276</v>
      </c>
    </row>
    <row r="247">
      <c r="A247" s="2">
        <v>9.780349119854E12</v>
      </c>
      <c r="B247" s="2" t="s">
        <v>476</v>
      </c>
      <c r="C247" s="2" t="s">
        <v>477</v>
      </c>
    </row>
    <row r="248">
      <c r="A248" s="2">
        <v>9.781572245372E12</v>
      </c>
      <c r="B248" s="2" t="s">
        <v>478</v>
      </c>
      <c r="C248" s="2" t="s">
        <v>479</v>
      </c>
    </row>
    <row r="249">
      <c r="A249" s="2">
        <v>9.780356500546E12</v>
      </c>
      <c r="B249" s="2" t="s">
        <v>480</v>
      </c>
      <c r="C249" s="2" t="s">
        <v>481</v>
      </c>
    </row>
    <row r="250">
      <c r="A250" s="2">
        <v>9.780356500539E12</v>
      </c>
      <c r="B250" s="2" t="s">
        <v>482</v>
      </c>
      <c r="C250" s="2" t="s">
        <v>481</v>
      </c>
    </row>
    <row r="251">
      <c r="A251" s="2">
        <v>9.781472154668E12</v>
      </c>
      <c r="B251" s="2" t="s">
        <v>483</v>
      </c>
      <c r="C251" s="2" t="s">
        <v>484</v>
      </c>
    </row>
    <row r="252">
      <c r="A252" s="2">
        <v>9.781472258229E12</v>
      </c>
      <c r="B252" s="2" t="s">
        <v>485</v>
      </c>
      <c r="C252" s="2" t="s">
        <v>486</v>
      </c>
    </row>
    <row r="253">
      <c r="A253" s="2">
        <v>9.780356500843E12</v>
      </c>
      <c r="B253" s="2" t="s">
        <v>487</v>
      </c>
      <c r="C253" s="2" t="s">
        <v>488</v>
      </c>
    </row>
    <row r="254">
      <c r="A254" s="2">
        <v>9.781785031137E12</v>
      </c>
      <c r="B254" s="2" t="s">
        <v>489</v>
      </c>
      <c r="C254" s="2" t="s">
        <v>490</v>
      </c>
    </row>
    <row r="255">
      <c r="A255" s="2">
        <v>9.78075382221E12</v>
      </c>
      <c r="B255" s="2" t="s">
        <v>491</v>
      </c>
      <c r="C255" s="2" t="s">
        <v>96</v>
      </c>
    </row>
    <row r="256">
      <c r="A256" s="2">
        <v>9.78184767083E12</v>
      </c>
      <c r="B256" s="2" t="s">
        <v>492</v>
      </c>
      <c r="C256" s="2" t="s">
        <v>493</v>
      </c>
    </row>
    <row r="257">
      <c r="A257" s="2">
        <v>9.780099537038E12</v>
      </c>
      <c r="B257" s="2" t="s">
        <v>494</v>
      </c>
      <c r="C257" s="2" t="s">
        <v>87</v>
      </c>
    </row>
    <row r="258">
      <c r="A258" s="2">
        <v>9.781848549562E12</v>
      </c>
      <c r="B258" s="2" t="s">
        <v>495</v>
      </c>
      <c r="C258" s="2" t="s">
        <v>496</v>
      </c>
    </row>
    <row r="259">
      <c r="A259" s="2">
        <v>9.780575081406E12</v>
      </c>
      <c r="B259" s="2" t="s">
        <v>497</v>
      </c>
      <c r="C259" s="2" t="s">
        <v>498</v>
      </c>
    </row>
    <row r="260">
      <c r="A260" s="2">
        <v>9.781784702762E12</v>
      </c>
      <c r="B260" s="2" t="s">
        <v>499</v>
      </c>
      <c r="C260" s="2" t="s">
        <v>500</v>
      </c>
    </row>
    <row r="261">
      <c r="A261" s="2">
        <v>9.780008138301E12</v>
      </c>
      <c r="B261" s="2" t="s">
        <v>501</v>
      </c>
      <c r="C261" s="2" t="s">
        <v>502</v>
      </c>
    </row>
    <row r="262">
      <c r="A262" s="2">
        <v>9.780099569589E12</v>
      </c>
      <c r="B262" s="2" t="s">
        <v>503</v>
      </c>
      <c r="C262" s="2" t="s">
        <v>504</v>
      </c>
    </row>
    <row r="263">
      <c r="A263" s="2">
        <v>9.780553406634E12</v>
      </c>
      <c r="B263" s="2" t="s">
        <v>505</v>
      </c>
      <c r="C263" s="2" t="s">
        <v>28</v>
      </c>
    </row>
    <row r="264">
      <c r="A264" s="2">
        <v>9.780008390648E12</v>
      </c>
      <c r="B264" s="2" t="s">
        <v>506</v>
      </c>
      <c r="C264" s="2" t="s">
        <v>413</v>
      </c>
    </row>
    <row r="265">
      <c r="A265" s="2">
        <v>9.781844135844E12</v>
      </c>
      <c r="B265" s="2" t="s">
        <v>507</v>
      </c>
      <c r="C265" s="2" t="s">
        <v>508</v>
      </c>
    </row>
    <row r="266">
      <c r="A266" s="2">
        <v>9.78178504214E12</v>
      </c>
      <c r="B266" s="2" t="s">
        <v>509</v>
      </c>
      <c r="C266" s="2" t="s">
        <v>391</v>
      </c>
    </row>
    <row r="267">
      <c r="A267" s="2">
        <v>9.78075355869E12</v>
      </c>
      <c r="B267" s="2" t="s">
        <v>510</v>
      </c>
      <c r="C267" s="2" t="s">
        <v>511</v>
      </c>
    </row>
    <row r="268">
      <c r="A268" s="2">
        <v>9.780008117498E12</v>
      </c>
      <c r="B268" s="2" t="s">
        <v>512</v>
      </c>
      <c r="C268" s="2" t="s">
        <v>513</v>
      </c>
    </row>
    <row r="269">
      <c r="A269" s="2">
        <v>9.781784875602E12</v>
      </c>
      <c r="B269" s="2" t="s">
        <v>514</v>
      </c>
      <c r="C269" s="2" t="s">
        <v>515</v>
      </c>
    </row>
    <row r="270">
      <c r="A270" s="2">
        <v>9.781781256176E12</v>
      </c>
      <c r="B270" s="2" t="s">
        <v>516</v>
      </c>
      <c r="C270" s="2" t="s">
        <v>517</v>
      </c>
    </row>
    <row r="271">
      <c r="A271" s="2">
        <v>9.78009930278E12</v>
      </c>
      <c r="B271" s="2" t="s">
        <v>518</v>
      </c>
      <c r="C271" s="2" t="s">
        <v>519</v>
      </c>
    </row>
    <row r="272">
      <c r="A272" s="2">
        <v>9.780091906351E12</v>
      </c>
      <c r="B272" s="2" t="s">
        <v>520</v>
      </c>
      <c r="C272" s="2" t="s">
        <v>521</v>
      </c>
    </row>
    <row r="273">
      <c r="A273" s="2">
        <v>9.780063136892E12</v>
      </c>
      <c r="B273" s="2" t="s">
        <v>522</v>
      </c>
      <c r="C273" s="2" t="s">
        <v>523</v>
      </c>
    </row>
    <row r="274">
      <c r="A274" s="2">
        <v>9.781784162245E12</v>
      </c>
      <c r="B274" s="2" t="s">
        <v>524</v>
      </c>
      <c r="C274" s="2" t="s">
        <v>459</v>
      </c>
    </row>
    <row r="275">
      <c r="A275" s="2">
        <v>9.781400212941E12</v>
      </c>
      <c r="B275" s="2" t="s">
        <v>525</v>
      </c>
      <c r="C275" s="2" t="s">
        <v>526</v>
      </c>
    </row>
    <row r="276">
      <c r="A276" s="2">
        <v>9.780753541647E12</v>
      </c>
      <c r="B276" s="2" t="s">
        <v>527</v>
      </c>
      <c r="C276" s="2" t="s">
        <v>528</v>
      </c>
    </row>
    <row r="277">
      <c r="A277" s="2">
        <v>9.78178487858E12</v>
      </c>
      <c r="B277" s="2" t="s">
        <v>529</v>
      </c>
      <c r="C277" s="2" t="s">
        <v>530</v>
      </c>
    </row>
    <row r="278">
      <c r="A278" s="2">
        <v>9.780007119318E12</v>
      </c>
      <c r="B278" s="2" t="s">
        <v>531</v>
      </c>
      <c r="C278" s="2" t="s">
        <v>109</v>
      </c>
    </row>
    <row r="279">
      <c r="A279" s="2">
        <v>9.781784705435E12</v>
      </c>
      <c r="B279" s="2" t="s">
        <v>532</v>
      </c>
      <c r="C279" s="2" t="s">
        <v>533</v>
      </c>
    </row>
    <row r="280">
      <c r="A280" s="2">
        <v>9.780099523994E12</v>
      </c>
      <c r="B280" s="2" t="s">
        <v>534</v>
      </c>
      <c r="C280" s="2" t="s">
        <v>535</v>
      </c>
    </row>
    <row r="281">
      <c r="A281" s="2">
        <v>9.781857028959E12</v>
      </c>
      <c r="B281" s="2" t="s">
        <v>536</v>
      </c>
      <c r="C281" s="2" t="s">
        <v>537</v>
      </c>
    </row>
    <row r="282">
      <c r="A282" s="2">
        <v>9.780099591528E12</v>
      </c>
      <c r="B282" s="2" t="s">
        <v>538</v>
      </c>
      <c r="C282" s="2" t="s">
        <v>539</v>
      </c>
    </row>
    <row r="283">
      <c r="A283" s="2">
        <v>9.780007256532E12</v>
      </c>
      <c r="B283" s="2" t="s">
        <v>540</v>
      </c>
      <c r="C283" s="2" t="s">
        <v>346</v>
      </c>
    </row>
    <row r="284">
      <c r="A284" s="2">
        <v>9.780099560432E12</v>
      </c>
      <c r="B284" s="2" t="s">
        <v>541</v>
      </c>
      <c r="C284" s="2" t="s">
        <v>542</v>
      </c>
    </row>
    <row r="285">
      <c r="A285" s="2">
        <v>9.780062654199E12</v>
      </c>
      <c r="B285" s="2" t="s">
        <v>543</v>
      </c>
      <c r="C285" s="2" t="s">
        <v>544</v>
      </c>
    </row>
    <row r="286">
      <c r="A286" s="2">
        <v>9.780552173148E12</v>
      </c>
      <c r="B286" s="2" t="s">
        <v>545</v>
      </c>
      <c r="C286" s="2" t="s">
        <v>546</v>
      </c>
    </row>
    <row r="287">
      <c r="A287" s="2">
        <v>9.780552167833E12</v>
      </c>
      <c r="B287" s="2" t="s">
        <v>547</v>
      </c>
      <c r="C287" s="2" t="s">
        <v>548</v>
      </c>
    </row>
    <row r="288">
      <c r="A288" s="2">
        <v>9.780099528128E12</v>
      </c>
      <c r="B288" s="2" t="s">
        <v>549</v>
      </c>
      <c r="C288" s="2" t="s">
        <v>550</v>
      </c>
    </row>
    <row r="289">
      <c r="A289" s="2">
        <v>9.780008150792E12</v>
      </c>
      <c r="B289" s="2" t="s">
        <v>551</v>
      </c>
      <c r="C289" s="2" t="s">
        <v>552</v>
      </c>
    </row>
    <row r="290">
      <c r="A290" s="2">
        <v>9.780753539477E12</v>
      </c>
      <c r="B290" s="2" t="s">
        <v>553</v>
      </c>
      <c r="C290" s="2" t="s">
        <v>554</v>
      </c>
    </row>
    <row r="291">
      <c r="A291" s="2">
        <v>9.780062273208E12</v>
      </c>
      <c r="B291" s="2" t="s">
        <v>555</v>
      </c>
      <c r="C291" s="2" t="s">
        <v>556</v>
      </c>
    </row>
    <row r="292">
      <c r="A292" s="2">
        <v>9.78000827953E12</v>
      </c>
      <c r="B292" s="2" t="s">
        <v>557</v>
      </c>
      <c r="C292" s="2" t="s">
        <v>558</v>
      </c>
    </row>
    <row r="293">
      <c r="A293" s="2">
        <v>9.780063423527E12</v>
      </c>
      <c r="B293" s="2" t="s">
        <v>559</v>
      </c>
      <c r="C293" s="2" t="s">
        <v>560</v>
      </c>
    </row>
    <row r="294">
      <c r="A294" s="2">
        <v>9.780552778473E12</v>
      </c>
      <c r="B294" s="2" t="s">
        <v>561</v>
      </c>
      <c r="C294" s="2" t="s">
        <v>562</v>
      </c>
    </row>
    <row r="295">
      <c r="A295" s="2">
        <v>9.780008224608E12</v>
      </c>
      <c r="B295" s="2" t="s">
        <v>563</v>
      </c>
      <c r="C295" s="2" t="s">
        <v>564</v>
      </c>
    </row>
    <row r="296">
      <c r="A296" s="2">
        <v>9.781846041037E12</v>
      </c>
      <c r="B296" s="2" t="s">
        <v>565</v>
      </c>
      <c r="C296" s="2" t="s">
        <v>566</v>
      </c>
    </row>
    <row r="297">
      <c r="A297" s="2">
        <v>9.780099482017E12</v>
      </c>
      <c r="B297" s="2" t="s">
        <v>567</v>
      </c>
      <c r="C297" s="2" t="s">
        <v>568</v>
      </c>
    </row>
    <row r="298">
      <c r="A298" s="2">
        <v>9.781784871055E12</v>
      </c>
      <c r="B298" s="2" t="s">
        <v>569</v>
      </c>
      <c r="C298" s="2" t="s">
        <v>570</v>
      </c>
    </row>
    <row r="299">
      <c r="A299" s="2">
        <v>9.781846682575E12</v>
      </c>
      <c r="B299" s="2" t="s">
        <v>571</v>
      </c>
      <c r="C299" s="2" t="s">
        <v>572</v>
      </c>
    </row>
    <row r="300">
      <c r="A300" s="2">
        <v>9.780007590599E12</v>
      </c>
      <c r="B300" s="2" t="s">
        <v>573</v>
      </c>
      <c r="C300" s="2" t="s">
        <v>109</v>
      </c>
    </row>
    <row r="301">
      <c r="A301" s="2">
        <v>9.780099532927E12</v>
      </c>
      <c r="B301" s="2" t="s">
        <v>574</v>
      </c>
      <c r="C301" s="2" t="s">
        <v>575</v>
      </c>
    </row>
    <row r="302">
      <c r="A302" s="2">
        <v>9.780062740397E12</v>
      </c>
      <c r="B302" s="2" t="s">
        <v>576</v>
      </c>
      <c r="C302" s="2" t="s">
        <v>577</v>
      </c>
    </row>
    <row r="303">
      <c r="A303" s="2">
        <v>9.781784708092E12</v>
      </c>
      <c r="B303" s="2" t="s">
        <v>578</v>
      </c>
      <c r="C303" s="2" t="s">
        <v>579</v>
      </c>
    </row>
    <row r="304">
      <c r="A304" s="2">
        <v>9.780593048153E12</v>
      </c>
      <c r="B304" s="2" t="s">
        <v>580</v>
      </c>
      <c r="C304" s="2" t="s">
        <v>28</v>
      </c>
    </row>
    <row r="305">
      <c r="A305" s="2">
        <v>9.780099598237E12</v>
      </c>
      <c r="B305" s="2" t="s">
        <v>581</v>
      </c>
      <c r="C305" s="2" t="s">
        <v>579</v>
      </c>
    </row>
    <row r="306">
      <c r="A306" s="2">
        <v>9.780008485122E12</v>
      </c>
      <c r="B306" s="2" t="s">
        <v>582</v>
      </c>
      <c r="C306" s="2" t="s">
        <v>583</v>
      </c>
    </row>
    <row r="307">
      <c r="A307" s="2">
        <v>9.780099466734E12</v>
      </c>
      <c r="B307" s="2" t="s">
        <v>584</v>
      </c>
      <c r="C307" s="2" t="s">
        <v>585</v>
      </c>
    </row>
    <row r="308">
      <c r="A308" s="2">
        <v>9.781785043352E12</v>
      </c>
      <c r="B308" s="2" t="s">
        <v>586</v>
      </c>
      <c r="C308" s="2" t="s">
        <v>587</v>
      </c>
    </row>
    <row r="309">
      <c r="A309" s="2">
        <v>9.781846684302E12</v>
      </c>
      <c r="B309" s="2" t="s">
        <v>588</v>
      </c>
      <c r="C309" s="2" t="s">
        <v>589</v>
      </c>
    </row>
    <row r="310">
      <c r="A310" s="2">
        <v>9.7807535552E12</v>
      </c>
      <c r="B310" s="2" t="s">
        <v>590</v>
      </c>
      <c r="C310" s="2" t="s">
        <v>591</v>
      </c>
    </row>
    <row r="311">
      <c r="A311" s="2">
        <v>9.781529157468E12</v>
      </c>
      <c r="B311" s="2" t="s">
        <v>592</v>
      </c>
      <c r="C311" s="2" t="s">
        <v>490</v>
      </c>
    </row>
    <row r="312">
      <c r="A312" s="2">
        <v>9.780007527526E12</v>
      </c>
      <c r="B312" s="2" t="s">
        <v>593</v>
      </c>
      <c r="C312" s="2" t="s">
        <v>109</v>
      </c>
    </row>
    <row r="313">
      <c r="A313" s="2">
        <v>9.781435167902E12</v>
      </c>
      <c r="B313" s="2" t="s">
        <v>594</v>
      </c>
      <c r="C313" s="2" t="s">
        <v>595</v>
      </c>
    </row>
    <row r="314">
      <c r="A314" s="2">
        <v>9.780099448822E12</v>
      </c>
      <c r="B314" s="2" t="s">
        <v>596</v>
      </c>
      <c r="C314" s="2" t="s">
        <v>597</v>
      </c>
    </row>
    <row r="315">
      <c r="A315" s="2">
        <v>9.780099494096E12</v>
      </c>
      <c r="B315" s="2" t="s">
        <v>598</v>
      </c>
      <c r="C315" s="2" t="s">
        <v>597</v>
      </c>
    </row>
    <row r="316">
      <c r="A316" s="2">
        <v>9.780099448792E12</v>
      </c>
      <c r="B316" s="2" t="s">
        <v>599</v>
      </c>
      <c r="C316" s="2" t="s">
        <v>597</v>
      </c>
    </row>
    <row r="317">
      <c r="A317" s="2">
        <v>9.780091900212E12</v>
      </c>
      <c r="B317" s="2" t="s">
        <v>600</v>
      </c>
      <c r="C317" s="2" t="s">
        <v>601</v>
      </c>
    </row>
    <row r="318">
      <c r="A318" s="2">
        <v>9.781784703936E12</v>
      </c>
      <c r="B318" s="2" t="s">
        <v>602</v>
      </c>
      <c r="C318" s="2" t="s">
        <v>12</v>
      </c>
    </row>
    <row r="319">
      <c r="A319" s="2">
        <v>9.780099575061E12</v>
      </c>
      <c r="B319" s="2" t="s">
        <v>603</v>
      </c>
      <c r="C319" s="2" t="s">
        <v>604</v>
      </c>
    </row>
    <row r="320">
      <c r="A320" s="2">
        <v>9.781841594057E12</v>
      </c>
      <c r="B320" s="2" t="s">
        <v>605</v>
      </c>
      <c r="C320" s="2" t="s">
        <v>606</v>
      </c>
    </row>
    <row r="321">
      <c r="A321" s="2">
        <v>9.780141180977E12</v>
      </c>
      <c r="B321" s="2" t="s">
        <v>607</v>
      </c>
      <c r="C321" s="2" t="s">
        <v>302</v>
      </c>
    </row>
    <row r="322">
      <c r="A322" s="2">
        <v>9.780593133934E12</v>
      </c>
      <c r="B322" s="2" t="s">
        <v>608</v>
      </c>
      <c r="C322" s="2" t="s">
        <v>609</v>
      </c>
    </row>
    <row r="323">
      <c r="A323" s="2">
        <v>9.780143111344E12</v>
      </c>
      <c r="B323" s="2" t="s">
        <v>610</v>
      </c>
      <c r="C323" s="2" t="s">
        <v>611</v>
      </c>
    </row>
    <row r="324">
      <c r="A324" s="2">
        <v>9.780525538837E12</v>
      </c>
      <c r="B324" s="2" t="s">
        <v>612</v>
      </c>
      <c r="C324" s="2" t="s">
        <v>14</v>
      </c>
    </row>
    <row r="325">
      <c r="A325" s="2">
        <v>9.780385418867E12</v>
      </c>
      <c r="B325" s="2" t="s">
        <v>613</v>
      </c>
      <c r="C325" s="2" t="s">
        <v>614</v>
      </c>
    </row>
    <row r="326">
      <c r="A326" s="2">
        <v>9.780525574477E12</v>
      </c>
      <c r="B326" s="2" t="s">
        <v>615</v>
      </c>
      <c r="C326" s="2" t="s">
        <v>616</v>
      </c>
    </row>
    <row r="327">
      <c r="A327" s="2">
        <v>9.7803455144E12</v>
      </c>
      <c r="B327" s="2" t="s">
        <v>617</v>
      </c>
      <c r="C327" s="2" t="s">
        <v>618</v>
      </c>
    </row>
    <row r="328">
      <c r="A328" s="2">
        <v>9.781524763176E12</v>
      </c>
      <c r="B328" s="2" t="s">
        <v>619</v>
      </c>
      <c r="C328" s="2" t="s">
        <v>493</v>
      </c>
    </row>
    <row r="329">
      <c r="A329" s="2">
        <v>9.780425119655E12</v>
      </c>
      <c r="B329" s="2" t="s">
        <v>620</v>
      </c>
      <c r="C329" s="2" t="s">
        <v>369</v>
      </c>
    </row>
    <row r="330">
      <c r="A330" s="2">
        <v>9.780553384666E12</v>
      </c>
      <c r="B330" s="2" t="s">
        <v>621</v>
      </c>
      <c r="C330" s="2" t="s">
        <v>28</v>
      </c>
    </row>
    <row r="331">
      <c r="A331" s="2">
        <v>9.780938077268E12</v>
      </c>
      <c r="B331" s="2" t="s">
        <v>622</v>
      </c>
      <c r="C331" s="2" t="s">
        <v>623</v>
      </c>
    </row>
    <row r="332">
      <c r="A332" s="2">
        <v>9.780241348482E12</v>
      </c>
      <c r="B332" s="2" t="s">
        <v>624</v>
      </c>
      <c r="C332" s="2" t="s">
        <v>625</v>
      </c>
    </row>
    <row r="333">
      <c r="A333" s="2">
        <v>9.78009951828E12</v>
      </c>
      <c r="B333" s="2" t="s">
        <v>626</v>
      </c>
      <c r="C333" s="2" t="s">
        <v>595</v>
      </c>
    </row>
    <row r="334">
      <c r="A334" s="2">
        <v>9.780099416937E12</v>
      </c>
      <c r="B334" s="2" t="s">
        <v>627</v>
      </c>
      <c r="C334" s="2" t="s">
        <v>628</v>
      </c>
    </row>
    <row r="335">
      <c r="A335" s="2">
        <v>9.780452286351E12</v>
      </c>
      <c r="B335" s="2" t="s">
        <v>629</v>
      </c>
      <c r="C335" s="2" t="s">
        <v>630</v>
      </c>
    </row>
    <row r="336">
      <c r="A336" s="2">
        <v>9.78076435173E12</v>
      </c>
      <c r="B336" s="2" t="s">
        <v>631</v>
      </c>
      <c r="C336" s="2" t="s">
        <v>632</v>
      </c>
    </row>
    <row r="337">
      <c r="A337" s="2">
        <v>9.781860634635E12</v>
      </c>
      <c r="B337" s="2" t="s">
        <v>633</v>
      </c>
      <c r="C337" s="2" t="s">
        <v>634</v>
      </c>
    </row>
    <row r="338">
      <c r="A338" s="2">
        <v>9.780307473332E12</v>
      </c>
      <c r="B338" s="2" t="s">
        <v>635</v>
      </c>
      <c r="C338" s="2" t="s">
        <v>401</v>
      </c>
    </row>
    <row r="339">
      <c r="A339" s="2">
        <v>9.780241287286E12</v>
      </c>
      <c r="B339" s="2" t="s">
        <v>636</v>
      </c>
      <c r="C339" s="2" t="s">
        <v>330</v>
      </c>
    </row>
    <row r="340">
      <c r="A340" s="2">
        <v>9.781857338744E12</v>
      </c>
      <c r="B340" s="2" t="s">
        <v>637</v>
      </c>
      <c r="C340" s="2" t="s">
        <v>638</v>
      </c>
    </row>
    <row r="341">
      <c r="A341" s="2">
        <v>9.781615199143E12</v>
      </c>
      <c r="B341" s="2" t="s">
        <v>639</v>
      </c>
      <c r="C341" s="2" t="s">
        <v>640</v>
      </c>
    </row>
    <row r="342">
      <c r="A342" s="2">
        <v>9.780006375951E12</v>
      </c>
      <c r="B342" s="2" t="s">
        <v>641</v>
      </c>
      <c r="C342" s="2" t="s">
        <v>642</v>
      </c>
    </row>
    <row r="343">
      <c r="A343" s="2">
        <v>9.781786574862E12</v>
      </c>
      <c r="B343" s="2" t="s">
        <v>643</v>
      </c>
      <c r="C343" s="2" t="s">
        <v>644</v>
      </c>
    </row>
    <row r="344">
      <c r="A344" s="2">
        <v>9.780894108815E12</v>
      </c>
      <c r="B344" s="2" t="s">
        <v>645</v>
      </c>
      <c r="C344" s="2" t="s">
        <v>646</v>
      </c>
    </row>
    <row r="345">
      <c r="A345" s="2">
        <v>9.781938477072E12</v>
      </c>
      <c r="B345" s="2" t="s">
        <v>647</v>
      </c>
      <c r="C345" s="2" t="s">
        <v>648</v>
      </c>
    </row>
    <row r="346">
      <c r="A346" s="2">
        <v>9.781684112982E12</v>
      </c>
      <c r="B346" s="2" t="s">
        <v>649</v>
      </c>
      <c r="C346" s="2" t="s">
        <v>650</v>
      </c>
    </row>
    <row r="347">
      <c r="A347" s="2">
        <v>9.780593081853E12</v>
      </c>
      <c r="B347" s="2" t="s">
        <v>651</v>
      </c>
      <c r="C347" s="2" t="s">
        <v>652</v>
      </c>
    </row>
    <row r="348">
      <c r="A348" s="2">
        <v>9.781408864425E12</v>
      </c>
      <c r="B348" s="2" t="s">
        <v>653</v>
      </c>
      <c r="C348" s="2" t="s">
        <v>654</v>
      </c>
    </row>
    <row r="349">
      <c r="A349" s="2">
        <v>9.78009928992E12</v>
      </c>
      <c r="B349" s="2" t="s">
        <v>655</v>
      </c>
      <c r="C349" s="2" t="s">
        <v>36</v>
      </c>
    </row>
    <row r="350">
      <c r="A350" s="2">
        <v>9.780593467008E12</v>
      </c>
      <c r="B350" s="2" t="s">
        <v>656</v>
      </c>
      <c r="C350" s="2" t="s">
        <v>401</v>
      </c>
    </row>
    <row r="351">
      <c r="A351" s="2">
        <v>9.780393355628E12</v>
      </c>
      <c r="B351" s="2" t="s">
        <v>361</v>
      </c>
      <c r="C351" s="2" t="s">
        <v>362</v>
      </c>
    </row>
    <row r="352">
      <c r="A352" s="2">
        <v>9.780241972939E12</v>
      </c>
      <c r="B352" s="2" t="s">
        <v>387</v>
      </c>
      <c r="C352" s="2" t="s">
        <v>385</v>
      </c>
    </row>
    <row r="353">
      <c r="A353" s="2">
        <v>9.781951949396E12</v>
      </c>
      <c r="B353" s="2" t="s">
        <v>657</v>
      </c>
      <c r="C353" s="2" t="s">
        <v>658</v>
      </c>
    </row>
    <row r="354">
      <c r="A354" s="2">
        <v>9.780300192346E12</v>
      </c>
      <c r="B354" s="2" t="s">
        <v>659</v>
      </c>
      <c r="C354" s="2" t="s">
        <v>660</v>
      </c>
    </row>
    <row r="355">
      <c r="A355" s="2">
        <v>9.780691165851E12</v>
      </c>
      <c r="B355" s="2" t="s">
        <v>661</v>
      </c>
      <c r="C355" s="2" t="s">
        <v>662</v>
      </c>
    </row>
  </sheetData>
  <drawing r:id="rId1"/>
</worksheet>
</file>